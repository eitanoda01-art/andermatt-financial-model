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3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25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25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25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25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82" authorId="0" shapeId="0">
      <text>
        <t>100% Aura revenue (self-operated by GRÜEZI). Related costs are included in Sunday Program cost line.</t>
      </text>
    </comment>
    <comment ref="B89" authorId="0" shapeId="0">
      <text>
        <t>Currently set to 0. Can be used to model dinner revenue if a share agreement is negotiated with the restaurant. Enter a flat CHF amount per year.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</f>
        <v/>
      </c>
      <c r="C12" s="29">
        <f>'P&amp;L'!C10*$C$60</f>
        <v/>
      </c>
      <c r="D12" s="29">
        <f>'P&amp;L'!D10*$C$60</f>
        <v/>
      </c>
      <c r="E12" s="29">
        <f>'P&amp;L'!E10*$C$60</f>
        <v/>
      </c>
      <c r="F12" s="29">
        <f>'P&amp;L'!F10*$C$60</f>
        <v/>
      </c>
      <c r="G12" s="29">
        <f>'P&amp;L'!G10*$C$60</f>
        <v/>
      </c>
      <c r="H12" s="29">
        <f>'P&amp;L'!H10*$C$60</f>
        <v/>
      </c>
      <c r="I12" s="29">
        <f>'P&amp;L'!I10*$C$60</f>
        <v/>
      </c>
      <c r="J12" s="29">
        <f>'P&amp;L'!J10*$C$60</f>
        <v/>
      </c>
      <c r="K12" s="29">
        <f>'P&amp;L'!K10*$C$60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'P&amp;L'!B11*$C$61</f>
        <v/>
      </c>
      <c r="C13" s="29">
        <f>'P&amp;L'!C11*$C$61</f>
        <v/>
      </c>
      <c r="D13" s="29">
        <f>'P&amp;L'!D11*$C$61</f>
        <v/>
      </c>
      <c r="E13" s="29">
        <f>'P&amp;L'!E11*$C$61</f>
        <v/>
      </c>
      <c r="F13" s="29">
        <f>'P&amp;L'!F11*$C$61</f>
        <v/>
      </c>
      <c r="G13" s="29">
        <f>'P&amp;L'!G11*$C$61</f>
        <v/>
      </c>
      <c r="H13" s="29">
        <f>'P&amp;L'!H11*$C$61</f>
        <v/>
      </c>
      <c r="I13" s="29">
        <f>'P&amp;L'!I11*$C$61</f>
        <v/>
      </c>
      <c r="J13" s="29">
        <f>'P&amp;L'!J11*$C$61</f>
        <v/>
      </c>
      <c r="K13" s="29">
        <f>'P&amp;L'!K11*$C$61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'P&amp;L'!B12+'P&amp;L'!B13+'P&amp;L'!B14+'P&amp;L'!B15</f>
        <v/>
      </c>
      <c r="C14" s="29">
        <f>'P&amp;L'!C12+'P&amp;L'!C13+'P&amp;L'!C14+'P&amp;L'!C15</f>
        <v/>
      </c>
      <c r="D14" s="29">
        <f>'P&amp;L'!D12+'P&amp;L'!D13+'P&amp;L'!D14+'P&amp;L'!D15</f>
        <v/>
      </c>
      <c r="E14" s="29">
        <f>'P&amp;L'!E12+'P&amp;L'!E13+'P&amp;L'!E14+'P&amp;L'!E15</f>
        <v/>
      </c>
      <c r="F14" s="29">
        <f>'P&amp;L'!F12+'P&amp;L'!F13+'P&amp;L'!F14+'P&amp;L'!F15</f>
        <v/>
      </c>
      <c r="G14" s="29">
        <f>'P&amp;L'!G12+'P&amp;L'!G13+'P&amp;L'!G14+'P&amp;L'!G15</f>
        <v/>
      </c>
      <c r="H14" s="29">
        <f>'P&amp;L'!H12+'P&amp;L'!H13+'P&amp;L'!H14+'P&amp;L'!H15</f>
        <v/>
      </c>
      <c r="I14" s="29">
        <f>'P&amp;L'!I12+'P&amp;L'!I13+'P&amp;L'!I14+'P&amp;L'!I15</f>
        <v/>
      </c>
      <c r="J14" s="29">
        <f>'P&amp;L'!J12+'P&amp;L'!J13+'P&amp;L'!J14+'P&amp;L'!J15</f>
        <v/>
      </c>
      <c r="K14" s="29">
        <f>'P&amp;L'!K12+'P&amp;L'!K13+'P&amp;L'!K14+'P&amp;L'!K15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(B12+B13+B14)*(1+IF(2027&gt;=Revenue!$B$13,Revenue!$B$11,0))</f>
        <v/>
      </c>
      <c r="C15" s="25">
        <f>(C12+C13+C14)*(1+IF(2028&gt;=Revenue!$B$13,Revenue!$B$11,0))</f>
        <v/>
      </c>
      <c r="D15" s="25">
        <f>(D12+D13+D14)*(1+IF(2029&gt;=Revenue!$B$13,Revenue!$B$11,0))</f>
        <v/>
      </c>
      <c r="E15" s="25">
        <f>(E12+E13+E14)*(1+IF(2030&gt;=Revenue!$B$13,Revenue!$B$11,0))</f>
        <v/>
      </c>
      <c r="F15" s="25">
        <f>(F12+F13+F14)*(1+IF(2031&gt;=Revenue!$B$13,Revenue!$B$11,0))</f>
        <v/>
      </c>
      <c r="G15" s="25">
        <f>(G12+G13+G14)*(1+IF(2032&gt;=Revenue!$B$13,Revenue!$B$11,0))</f>
        <v/>
      </c>
      <c r="H15" s="25">
        <f>(H12+H13+H14)*(1+IF(2033&gt;=Revenue!$B$13,Revenue!$B$11,0))</f>
        <v/>
      </c>
      <c r="I15" s="25">
        <f>(I12+I13+I14)*(1+IF(2034&gt;=Revenue!$B$13,Revenue!$B$11,0))</f>
        <v/>
      </c>
      <c r="J15" s="25">
        <f>(J12+J13+J14)*(1+IF(2035&gt;=Revenue!$B$13,Revenue!$B$11,0))</f>
        <v/>
      </c>
      <c r="K15" s="25">
        <f>(K12+K13+K14)*(1+IF(2036&gt;=Revenue!$B$13,Revenue!$B$11,0))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'P&amp;L'!B24*$C$62</f>
        <v/>
      </c>
      <c r="C16" s="29">
        <f>'P&amp;L'!C24*$C$62</f>
        <v/>
      </c>
      <c r="D16" s="29">
        <f>'P&amp;L'!D24*$C$62</f>
        <v/>
      </c>
      <c r="E16" s="29">
        <f>'P&amp;L'!E24*$C$62</f>
        <v/>
      </c>
      <c r="F16" s="29">
        <f>'P&amp;L'!F24*$C$62</f>
        <v/>
      </c>
      <c r="G16" s="29">
        <f>'P&amp;L'!G24*$C$62</f>
        <v/>
      </c>
      <c r="H16" s="29">
        <f>'P&amp;L'!H24*$C$62</f>
        <v/>
      </c>
      <c r="I16" s="29">
        <f>'P&amp;L'!I24*$C$62</f>
        <v/>
      </c>
      <c r="J16" s="29">
        <f>'P&amp;L'!J24*$C$62</f>
        <v/>
      </c>
      <c r="K16" s="29">
        <f>'P&amp;L'!K24*$C$62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</f>
        <v/>
      </c>
      <c r="C24" s="29">
        <f>'P&amp;L'!C10*$B$60</f>
        <v/>
      </c>
      <c r="D24" s="29">
        <f>'P&amp;L'!D10*$B$60</f>
        <v/>
      </c>
      <c r="E24" s="29">
        <f>'P&amp;L'!E10*$B$60</f>
        <v/>
      </c>
      <c r="F24" s="29">
        <f>'P&amp;L'!F10*$B$60</f>
        <v/>
      </c>
      <c r="G24" s="29">
        <f>'P&amp;L'!G10*$B$60</f>
        <v/>
      </c>
      <c r="H24" s="29">
        <f>'P&amp;L'!H10*$B$60</f>
        <v/>
      </c>
      <c r="I24" s="29">
        <f>'P&amp;L'!I10*$B$60</f>
        <v/>
      </c>
      <c r="J24" s="29">
        <f>'P&amp;L'!J10*$B$60</f>
        <v/>
      </c>
      <c r="K24" s="29">
        <f>'P&amp;L'!K10*$B$60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'P&amp;L'!B11*$B$61</f>
        <v/>
      </c>
      <c r="C25" s="29">
        <f>'P&amp;L'!C11*$B$61</f>
        <v/>
      </c>
      <c r="D25" s="29">
        <f>'P&amp;L'!D11*$B$61</f>
        <v/>
      </c>
      <c r="E25" s="29">
        <f>'P&amp;L'!E11*$B$61</f>
        <v/>
      </c>
      <c r="F25" s="29">
        <f>'P&amp;L'!F11*$B$61</f>
        <v/>
      </c>
      <c r="G25" s="29">
        <f>'P&amp;L'!G11*$B$61</f>
        <v/>
      </c>
      <c r="H25" s="29">
        <f>'P&amp;L'!H11*$B$61</f>
        <v/>
      </c>
      <c r="I25" s="29">
        <f>'P&amp;L'!I11*$B$61</f>
        <v/>
      </c>
      <c r="J25" s="29">
        <f>'P&amp;L'!J11*$B$61</f>
        <v/>
      </c>
      <c r="K25" s="29">
        <f>'P&amp;L'!K11*$B$61</f>
        <v/>
      </c>
    </row>
    <row r="26" ht="15" customHeight="1" s="20">
      <c r="A26" s="24" t="inlineStr">
        <is>
          <t xml:space="preserve">    Other Revenue (ASA + F&amp;B + Dinner + Other)</t>
        </is>
      </c>
      <c r="B26" s="29">
        <f>'P&amp;L'!B12+'P&amp;L'!B13+'P&amp;L'!B14+'P&amp;L'!B15</f>
        <v/>
      </c>
      <c r="C26" s="29">
        <f>'P&amp;L'!C12+'P&amp;L'!C13+'P&amp;L'!C14+'P&amp;L'!C15</f>
        <v/>
      </c>
      <c r="D26" s="29">
        <f>'P&amp;L'!D12+'P&amp;L'!D13+'P&amp;L'!D14+'P&amp;L'!D15</f>
        <v/>
      </c>
      <c r="E26" s="29">
        <f>'P&amp;L'!E12+'P&amp;L'!E13+'P&amp;L'!E14+'P&amp;L'!E15</f>
        <v/>
      </c>
      <c r="F26" s="29">
        <f>'P&amp;L'!F12+'P&amp;L'!F13+'P&amp;L'!F14+'P&amp;L'!F15</f>
        <v/>
      </c>
      <c r="G26" s="29">
        <f>'P&amp;L'!G12+'P&amp;L'!G13+'P&amp;L'!G14+'P&amp;L'!G15</f>
        <v/>
      </c>
      <c r="H26" s="29">
        <f>'P&amp;L'!H12+'P&amp;L'!H13+'P&amp;L'!H14+'P&amp;L'!H15</f>
        <v/>
      </c>
      <c r="I26" s="29">
        <f>'P&amp;L'!I12+'P&amp;L'!I13+'P&amp;L'!I14+'P&amp;L'!I15</f>
        <v/>
      </c>
      <c r="J26" s="29">
        <f>'P&amp;L'!J12+'P&amp;L'!J13+'P&amp;L'!J14+'P&amp;L'!J15</f>
        <v/>
      </c>
      <c r="K26" s="29">
        <f>'P&amp;L'!K12+'P&amp;L'!K13+'P&amp;L'!K14+'P&amp;L'!K15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(B24+B25+B26)*(1+IF(2027&gt;=Revenue!$B$13,Revenue!$B$11,0))</f>
        <v/>
      </c>
      <c r="C27" s="25">
        <f>(C24+C25+C26)*(1+IF(2028&gt;=Revenue!$B$13,Revenue!$B$11,0))</f>
        <v/>
      </c>
      <c r="D27" s="25">
        <f>(D24+D25+D26)*(1+IF(2029&gt;=Revenue!$B$13,Revenue!$B$11,0))</f>
        <v/>
      </c>
      <c r="E27" s="25">
        <f>(E24+E25+E26)*(1+IF(2030&gt;=Revenue!$B$13,Revenue!$B$11,0))</f>
        <v/>
      </c>
      <c r="F27" s="25">
        <f>(F24+F25+F26)*(1+IF(2031&gt;=Revenue!$B$13,Revenue!$B$11,0))</f>
        <v/>
      </c>
      <c r="G27" s="25">
        <f>(G24+G25+G26)*(1+IF(2032&gt;=Revenue!$B$13,Revenue!$B$11,0))</f>
        <v/>
      </c>
      <c r="H27" s="25">
        <f>(H24+H25+H26)*(1+IF(2033&gt;=Revenue!$B$13,Revenue!$B$11,0))</f>
        <v/>
      </c>
      <c r="I27" s="25">
        <f>(I24+I25+I26)*(1+IF(2034&gt;=Revenue!$B$13,Revenue!$B$11,0))</f>
        <v/>
      </c>
      <c r="J27" s="25">
        <f>(J24+J25+J26)*(1+IF(2035&gt;=Revenue!$B$13,Revenue!$B$11,0))</f>
        <v/>
      </c>
      <c r="K27" s="25">
        <f>(K24+K25+K26)*(1+IF(2036&gt;=Revenue!$B$13,Revenue!$B$11,0))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'P&amp;L'!B24*$B$62</f>
        <v/>
      </c>
      <c r="C28" s="29">
        <f>'P&amp;L'!C24*$B$62</f>
        <v/>
      </c>
      <c r="D28" s="29">
        <f>'P&amp;L'!D24*$B$62</f>
        <v/>
      </c>
      <c r="E28" s="29">
        <f>'P&amp;L'!E24*$B$62</f>
        <v/>
      </c>
      <c r="F28" s="29">
        <f>'P&amp;L'!F24*$B$62</f>
        <v/>
      </c>
      <c r="G28" s="29">
        <f>'P&amp;L'!G24*$B$62</f>
        <v/>
      </c>
      <c r="H28" s="29">
        <f>'P&amp;L'!H24*$B$62</f>
        <v/>
      </c>
      <c r="I28" s="29">
        <f>'P&amp;L'!I24*$B$62</f>
        <v/>
      </c>
      <c r="J28" s="29">
        <f>'P&amp;L'!J24*$B$62</f>
        <v/>
      </c>
      <c r="K28" s="29">
        <f>'P&amp;L'!K24*$B$62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</f>
        <v/>
      </c>
      <c r="C36" s="29">
        <f>'P&amp;L'!C10*$D$60</f>
        <v/>
      </c>
      <c r="D36" s="29">
        <f>'P&amp;L'!D10*$D$60</f>
        <v/>
      </c>
      <c r="E36" s="29">
        <f>'P&amp;L'!E10*$D$60</f>
        <v/>
      </c>
      <c r="F36" s="29">
        <f>'P&amp;L'!F10*$D$60</f>
        <v/>
      </c>
      <c r="G36" s="29">
        <f>'P&amp;L'!G10*$D$60</f>
        <v/>
      </c>
      <c r="H36" s="29">
        <f>'P&amp;L'!H10*$D$60</f>
        <v/>
      </c>
      <c r="I36" s="29">
        <f>'P&amp;L'!I10*$D$60</f>
        <v/>
      </c>
      <c r="J36" s="29">
        <f>'P&amp;L'!J10*$D$60</f>
        <v/>
      </c>
      <c r="K36" s="29">
        <f>'P&amp;L'!K10*$D$60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'P&amp;L'!B11*$D$61</f>
        <v/>
      </c>
      <c r="C37" s="29">
        <f>'P&amp;L'!C11*$D$61</f>
        <v/>
      </c>
      <c r="D37" s="29">
        <f>'P&amp;L'!D11*$D$61</f>
        <v/>
      </c>
      <c r="E37" s="29">
        <f>'P&amp;L'!E11*$D$61</f>
        <v/>
      </c>
      <c r="F37" s="29">
        <f>'P&amp;L'!F11*$D$61</f>
        <v/>
      </c>
      <c r="G37" s="29">
        <f>'P&amp;L'!G11*$D$61</f>
        <v/>
      </c>
      <c r="H37" s="29">
        <f>'P&amp;L'!H11*$D$61</f>
        <v/>
      </c>
      <c r="I37" s="29">
        <f>'P&amp;L'!I11*$D$61</f>
        <v/>
      </c>
      <c r="J37" s="29">
        <f>'P&amp;L'!J11*$D$61</f>
        <v/>
      </c>
      <c r="K37" s="29">
        <f>'P&amp;L'!K11*$D$61</f>
        <v/>
      </c>
    </row>
    <row r="38" ht="15" customHeight="1" s="20">
      <c r="A38" s="24" t="inlineStr">
        <is>
          <t xml:space="preserve">    Other Revenue (ASA + F&amp;B + Dinner + Other)</t>
        </is>
      </c>
      <c r="B38" s="29">
        <f>'P&amp;L'!B12+'P&amp;L'!B13+'P&amp;L'!B14+'P&amp;L'!B15</f>
        <v/>
      </c>
      <c r="C38" s="29">
        <f>'P&amp;L'!C12+'P&amp;L'!C13+'P&amp;L'!C14+'P&amp;L'!C15</f>
        <v/>
      </c>
      <c r="D38" s="29">
        <f>'P&amp;L'!D12+'P&amp;L'!D13+'P&amp;L'!D14+'P&amp;L'!D15</f>
        <v/>
      </c>
      <c r="E38" s="29">
        <f>'P&amp;L'!E12+'P&amp;L'!E13+'P&amp;L'!E14+'P&amp;L'!E15</f>
        <v/>
      </c>
      <c r="F38" s="29">
        <f>'P&amp;L'!F12+'P&amp;L'!F13+'P&amp;L'!F14+'P&amp;L'!F15</f>
        <v/>
      </c>
      <c r="G38" s="29">
        <f>'P&amp;L'!G12+'P&amp;L'!G13+'P&amp;L'!G14+'P&amp;L'!G15</f>
        <v/>
      </c>
      <c r="H38" s="29">
        <f>'P&amp;L'!H12+'P&amp;L'!H13+'P&amp;L'!H14+'P&amp;L'!H15</f>
        <v/>
      </c>
      <c r="I38" s="29">
        <f>'P&amp;L'!I12+'P&amp;L'!I13+'P&amp;L'!I14+'P&amp;L'!I15</f>
        <v/>
      </c>
      <c r="J38" s="29">
        <f>'P&amp;L'!J12+'P&amp;L'!J13+'P&amp;L'!J14+'P&amp;L'!J15</f>
        <v/>
      </c>
      <c r="K38" s="29">
        <f>'P&amp;L'!K12+'P&amp;L'!K13+'P&amp;L'!K14+'P&amp;L'!K15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(B36+B37+B38)*(1+IF(2027&gt;=Revenue!$B$13,Revenue!$B$11,0))</f>
        <v/>
      </c>
      <c r="C39" s="25">
        <f>(C36+C37+C38)*(1+IF(2028&gt;=Revenue!$B$13,Revenue!$B$11,0))</f>
        <v/>
      </c>
      <c r="D39" s="25">
        <f>(D36+D37+D38)*(1+IF(2029&gt;=Revenue!$B$13,Revenue!$B$11,0))</f>
        <v/>
      </c>
      <c r="E39" s="25">
        <f>(E36+E37+E38)*(1+IF(2030&gt;=Revenue!$B$13,Revenue!$B$11,0))</f>
        <v/>
      </c>
      <c r="F39" s="25">
        <f>(F36+F37+F38)*(1+IF(2031&gt;=Revenue!$B$13,Revenue!$B$11,0))</f>
        <v/>
      </c>
      <c r="G39" s="25">
        <f>(G36+G37+G38)*(1+IF(2032&gt;=Revenue!$B$13,Revenue!$B$11,0))</f>
        <v/>
      </c>
      <c r="H39" s="25">
        <f>(H36+H37+H38)*(1+IF(2033&gt;=Revenue!$B$13,Revenue!$B$11,0))</f>
        <v/>
      </c>
      <c r="I39" s="25">
        <f>(I36+I37+I38)*(1+IF(2034&gt;=Revenue!$B$13,Revenue!$B$11,0))</f>
        <v/>
      </c>
      <c r="J39" s="25">
        <f>(J36+J37+J38)*(1+IF(2035&gt;=Revenue!$B$13,Revenue!$B$11,0))</f>
        <v/>
      </c>
      <c r="K39" s="25">
        <f>(K36+K37+K38)*(1+IF(2036&gt;=Revenue!$B$13,Revenue!$B$11,0))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'P&amp;L'!B24*$D$62</f>
        <v/>
      </c>
      <c r="C40" s="29">
        <f>'P&amp;L'!C24*$D$62</f>
        <v/>
      </c>
      <c r="D40" s="29">
        <f>'P&amp;L'!D24*$D$62</f>
        <v/>
      </c>
      <c r="E40" s="29">
        <f>'P&amp;L'!E24*$D$62</f>
        <v/>
      </c>
      <c r="F40" s="29">
        <f>'P&amp;L'!F24*$D$62</f>
        <v/>
      </c>
      <c r="G40" s="29">
        <f>'P&amp;L'!G24*$D$62</f>
        <v/>
      </c>
      <c r="H40" s="29">
        <f>'P&amp;L'!H24*$D$62</f>
        <v/>
      </c>
      <c r="I40" s="29">
        <f>'P&amp;L'!I24*$D$62</f>
        <v/>
      </c>
      <c r="J40" s="29">
        <f>'P&amp;L'!J24*$D$62</f>
        <v/>
      </c>
      <c r="K40" s="29">
        <f>'P&amp;L'!K24*$D$62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22" t="inlineStr">
        <is>
          <t>SCENARIO ADJUSTMENTS (change values below to adjust scenarios)</t>
        </is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 ht="15" customHeight="1" s="20">
      <c r="B56" s="32" t="inlineStr">
        <is>
          <t>Downside</t>
        </is>
      </c>
      <c r="C56" s="32" t="inlineStr">
        <is>
          <t>Base</t>
        </is>
      </c>
      <c r="D56" s="32" t="inlineStr">
        <is>
          <t>Upside</t>
        </is>
      </c>
    </row>
    <row r="57"/>
    <row r="58" ht="15" customHeight="1" s="20">
      <c r="A58" s="26" t="inlineStr">
        <is>
          <t>■ FIRST EDITION FACTORS</t>
        </is>
      </c>
    </row>
    <row r="59" ht="15" customHeight="1" s="20">
      <c r="A59" s="33" t="inlineStr">
        <is>
          <t xml:space="preserve">  These multiply each year's revenue/cost directly.</t>
        </is>
      </c>
    </row>
    <row r="60" ht="15" customHeight="1" s="20">
      <c r="A60" s="24" t="inlineStr">
        <is>
          <t>Ticket Occupancy</t>
        </is>
      </c>
      <c r="B60" s="34" t="n">
        <v>0.8</v>
      </c>
      <c r="C60" s="34" t="n">
        <v>1</v>
      </c>
      <c r="D60" s="34" t="n">
        <v>1</v>
      </c>
    </row>
    <row r="61" ht="15" customHeight="1" s="20">
      <c r="A61" s="24" t="inlineStr">
        <is>
          <t>Partnership Factor</t>
        </is>
      </c>
      <c r="B61" s="35" t="n">
        <v>0.6</v>
      </c>
      <c r="C61" s="35" t="n">
        <v>1</v>
      </c>
      <c r="D61" s="35" t="n">
        <v>1.2</v>
      </c>
    </row>
    <row r="62" ht="15" customHeight="1" s="20">
      <c r="A62" s="24" t="inlineStr">
        <is>
          <t>Cost Overrun Factor</t>
        </is>
      </c>
      <c r="B62" s="35" t="n">
        <v>1.15</v>
      </c>
      <c r="C62" s="35" t="n">
        <v>1</v>
      </c>
      <c r="D62" s="35" t="n">
        <v>0.95</v>
      </c>
    </row>
    <row r="63"/>
    <row r="64" ht="15" customHeight="1" s="20">
      <c r="A64" s="33" t="inlineStr">
        <is>
          <t>SCENARIO EXPLANATIONS:</t>
        </is>
      </c>
    </row>
    <row r="65" ht="15" customHeight="1" s="20">
      <c r="A65" s="33" t="inlineStr">
        <is>
          <t xml:space="preserve">  Ticket Occupancy: % of tickets sold (e.g., 80% = 200 of 250 tickets). Upside cannot exceed 100% due to venue cap.</t>
        </is>
      </c>
    </row>
    <row r="66" ht="15" customHeight="1" s="20">
      <c r="A66" s="33" t="inlineStr">
        <is>
          <t xml:space="preserve">  Partnership Factor: Multiplier on total partnership revenue (e.g., ×0.6 = sponsors 40% fewer).</t>
        </is>
      </c>
    </row>
    <row r="67" ht="15" customHeight="1" s="20">
      <c r="A67" s="33" t="inlineStr">
        <is>
          <t xml:space="preserve">  Cost Overrun Factor: Multiplier on total direct costs (e.g., ×1.15 = costs 15% over budget).</t>
        </is>
      </c>
    </row>
    <row r="68" ht="15" customHeight="1" s="20">
      <c r="A68" s="33" t="n"/>
    </row>
    <row r="69" ht="15" customHeight="1" s="20">
      <c r="A69" s="33" t="inlineStr">
        <is>
          <t xml:space="preserve">  Downside = worst case (all factors negative simultaneously). Base = as entered in Revenue/Cost sheets. Upside = best case.</t>
        </is>
      </c>
    </row>
    <row r="70" ht="15" customHeight="1" s="20">
      <c r="A70" s="33" t="inlineStr">
        <is>
          <t xml:space="preserve">  To test individual growth rates or prices, change the yellow cells in Revenue/Cost sheets directly.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22" t="inlineStr">
        <is>
          <t>GLOBAL REVENUE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36" t="n">
        <v>280</v>
      </c>
    </row>
    <row r="5" ht="15" customHeight="1" s="20">
      <c r="A5" s="24" t="inlineStr">
        <is>
          <t>Total Ticket Count</t>
        </is>
      </c>
      <c r="B5" s="36" t="n">
        <v>250</v>
      </c>
    </row>
    <row r="6" ht="15" customHeight="1" s="20">
      <c r="A6" s="24" t="inlineStr">
        <is>
          <t>Net Factor (VAT + platform fees)</t>
        </is>
      </c>
      <c r="B6" s="35" t="n">
        <v>0.89</v>
      </c>
    </row>
    <row r="7" ht="15" customHeight="1" s="20">
      <c r="A7" s="24" t="inlineStr">
        <is>
          <t>Ticket Price Growth Rate (to 2030)</t>
        </is>
      </c>
      <c r="B7" s="34" t="n">
        <v>0.08</v>
      </c>
    </row>
    <row r="8" ht="15" customHeight="1" s="20">
      <c r="A8" s="24" t="inlineStr">
        <is>
          <t>Ticket Price Growth Rate (2031+)</t>
        </is>
      </c>
      <c r="B8" s="34" t="n">
        <v>0.04</v>
      </c>
    </row>
    <row r="9" ht="15" customHeight="1" s="20">
      <c r="A9" s="24" t="inlineStr">
        <is>
          <t>F&amp;B Growth Rate</t>
        </is>
      </c>
      <c r="B9" s="34" t="n">
        <v>0.03</v>
      </c>
    </row>
    <row r="10" ht="15" customHeight="1" s="20">
      <c r="A10" s="24" t="inlineStr">
        <is>
          <t>Partnership Growth Rate (2032+)</t>
        </is>
      </c>
      <c r="B10" s="34" t="n">
        <v>0.06</v>
      </c>
    </row>
    <row r="11" ht="15" customHeight="1" s="20">
      <c r="A11" s="24" t="inlineStr">
        <is>
          <t>Summer Revenue Multiplier</t>
        </is>
      </c>
      <c r="B11" s="35" t="n">
        <v>0.55</v>
      </c>
    </row>
    <row r="12" ht="15" customHeight="1" s="20">
      <c r="A12" s="24" t="inlineStr">
        <is>
          <t>Summer Cost Multiplier</t>
        </is>
      </c>
      <c r="B12" s="35" t="n">
        <v>0.5</v>
      </c>
    </row>
    <row r="13" ht="15" customHeight="1" s="20">
      <c r="A13" s="24" t="inlineStr">
        <is>
          <t>Summer Start Year</t>
        </is>
      </c>
      <c r="B13" s="37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34" t="n">
        <v>0.28</v>
      </c>
    </row>
    <row r="18" ht="15" customHeight="1" s="20">
      <c r="A18" s="24" t="inlineStr">
        <is>
          <t xml:space="preserve">  Drop 2 Allocation %</t>
        </is>
      </c>
      <c r="B18" s="34" t="n">
        <v>0.44</v>
      </c>
    </row>
    <row r="19" ht="15" customHeight="1" s="20">
      <c r="A19" s="24" t="inlineStr">
        <is>
          <t xml:space="preserve">  Drop 3 Allocation %</t>
        </is>
      </c>
      <c r="B19" s="34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36" t="n">
        <v>210</v>
      </c>
    </row>
    <row r="23" ht="15" customHeight="1" s="20">
      <c r="A23" s="24" t="inlineStr">
        <is>
          <t xml:space="preserve">  Drop 2 Unit Price</t>
        </is>
      </c>
      <c r="B23" s="36" t="n">
        <v>250</v>
      </c>
    </row>
    <row r="24" ht="15" customHeight="1" s="20">
      <c r="A24" s="24" t="inlineStr">
        <is>
          <t xml:space="preserve">  Drop 3 Unit Price</t>
        </is>
      </c>
      <c r="B24" s="36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36" t="n">
        <v>0</v>
      </c>
      <c r="C44" s="36" t="n">
        <v>50000</v>
      </c>
      <c r="D44" s="36" t="n">
        <v>50000</v>
      </c>
      <c r="E44" s="36" t="n">
        <v>50000</v>
      </c>
      <c r="F44" s="36" t="n">
        <v>50000</v>
      </c>
    </row>
    <row r="45" ht="15" customHeight="1" s="20">
      <c r="A45" s="24" t="inlineStr">
        <is>
          <t xml:space="preserve">  Presenting Partner — Count</t>
        </is>
      </c>
      <c r="B45" s="36" t="n">
        <v>0</v>
      </c>
      <c r="C45" s="36" t="n">
        <v>1</v>
      </c>
      <c r="D45" s="36" t="n">
        <v>1</v>
      </c>
      <c r="E45" s="36" t="n">
        <v>1</v>
      </c>
      <c r="F45" s="36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36" t="n">
        <v>15000</v>
      </c>
      <c r="C48" s="36" t="n">
        <v>0</v>
      </c>
      <c r="D48" s="36" t="n">
        <v>15000</v>
      </c>
      <c r="E48" s="36" t="n">
        <v>15000</v>
      </c>
      <c r="F48" s="36" t="n">
        <v>15000</v>
      </c>
    </row>
    <row r="49" ht="15" customHeight="1" s="20">
      <c r="A49" s="24" t="inlineStr">
        <is>
          <t xml:space="preserve">  Partner — Count</t>
        </is>
      </c>
      <c r="B49" s="36" t="n">
        <v>2</v>
      </c>
      <c r="C49" s="36" t="n">
        <v>0</v>
      </c>
      <c r="D49" s="36" t="n">
        <v>1</v>
      </c>
      <c r="E49" s="36" t="n">
        <v>2</v>
      </c>
      <c r="F49" s="36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36" t="n">
        <v>0</v>
      </c>
      <c r="C52" s="36" t="n">
        <v>5000</v>
      </c>
      <c r="D52" s="36" t="n">
        <v>5000</v>
      </c>
      <c r="E52" s="36" t="n">
        <v>5000</v>
      </c>
      <c r="F52" s="36" t="n">
        <v>5000</v>
      </c>
    </row>
    <row r="53" ht="15" customHeight="1" s="20">
      <c r="A53" s="24" t="inlineStr">
        <is>
          <t xml:space="preserve">  Supporting Partner — Count</t>
        </is>
      </c>
      <c r="B53" s="36" t="n">
        <v>0</v>
      </c>
      <c r="C53" s="36" t="n">
        <v>1</v>
      </c>
      <c r="D53" s="36" t="n">
        <v>2</v>
      </c>
      <c r="E53" s="36" t="n">
        <v>3</v>
      </c>
      <c r="F53" s="36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33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36" t="n">
        <v>10000</v>
      </c>
      <c r="C61" s="36" t="n">
        <v>12500</v>
      </c>
      <c r="D61" s="36" t="n">
        <v>15000</v>
      </c>
      <c r="E61" s="36" t="n">
        <v>20000</v>
      </c>
      <c r="F61" s="36" t="n">
        <v>25000</v>
      </c>
      <c r="G61" s="36" t="n">
        <v>30000</v>
      </c>
      <c r="H61" s="36" t="n">
        <v>30000</v>
      </c>
      <c r="I61" s="36" t="n">
        <v>35000</v>
      </c>
      <c r="J61" s="36" t="n">
        <v>40000</v>
      </c>
      <c r="K61" s="36" t="n">
        <v>45000</v>
      </c>
    </row>
    <row r="62" ht="15" customHeight="1" s="20">
      <c r="A62" s="3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22" t="inlineStr">
        <is>
          <t>SECTION 4: BAR / F&amp;B REVENUE</t>
        </is>
      </c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 ht="15" customHeight="1" s="20">
      <c r="A65" s="33" t="inlineStr">
        <is>
          <t xml:space="preserve">  Share rates are currently set to 0%. Aura does not take a share of bar/food revenue. If a share agreement is negotiated, change the share rate.</t>
        </is>
      </c>
    </row>
    <row r="66"/>
    <row r="67" ht="15" customHeight="1" s="20">
      <c r="A67" s="27" t="n"/>
      <c r="B67" s="28" t="n">
        <v>2027</v>
      </c>
      <c r="C67" s="28" t="n">
        <v>2028</v>
      </c>
      <c r="D67" s="28" t="n">
        <v>2029</v>
      </c>
      <c r="E67" s="28" t="n">
        <v>2030</v>
      </c>
      <c r="F67" s="28" t="n">
        <v>2031</v>
      </c>
      <c r="G67" s="28" t="n">
        <v>2032</v>
      </c>
      <c r="H67" s="28" t="n">
        <v>2033</v>
      </c>
      <c r="I67" s="28" t="n">
        <v>2034</v>
      </c>
      <c r="J67" s="28" t="n">
        <v>2035</v>
      </c>
      <c r="K67" s="28" t="n">
        <v>2036</v>
      </c>
    </row>
    <row r="68" ht="15" customHeight="1" s="20">
      <c r="A68" s="24" t="inlineStr">
        <is>
          <t xml:space="preserve">  Friday Coffee/Drinks — Guest Count</t>
        </is>
      </c>
      <c r="B68" s="36" t="n">
        <v>150</v>
      </c>
    </row>
    <row r="69" ht="15" customHeight="1" s="20">
      <c r="A69" s="24" t="inlineStr">
        <is>
          <t xml:space="preserve">  Friday Coffee/Drinks — Per-person Spend</t>
        </is>
      </c>
      <c r="B69" s="36" t="n">
        <v>15</v>
      </c>
    </row>
    <row r="70" ht="15" customHeight="1" s="20">
      <c r="A70" s="24" t="inlineStr">
        <is>
          <t xml:space="preserve">  Friday Coffee/Drinks — Share Rate</t>
        </is>
      </c>
      <c r="B70" s="34" t="n">
        <v>0</v>
      </c>
    </row>
    <row r="71" ht="15" customHeight="1" s="20">
      <c r="A71" s="24" t="inlineStr">
        <is>
          <t xml:space="preserve">  Friday Coffee/Drinks — Est. Total Sales (reference)</t>
        </is>
      </c>
      <c r="B71" s="29">
        <f>B68*B69</f>
        <v/>
      </c>
      <c r="C71" s="29">
        <f>B71*(1+$B$9)</f>
        <v/>
      </c>
      <c r="D71" s="29">
        <f>C71*(1+$B$9)</f>
        <v/>
      </c>
      <c r="E71" s="29">
        <f>D71*(1+$B$9)</f>
        <v/>
      </c>
      <c r="F71" s="29">
        <f>E71*(1+$B$9)</f>
        <v/>
      </c>
      <c r="G71" s="29">
        <f>F71*(1+$B$9)</f>
        <v/>
      </c>
      <c r="H71" s="29">
        <f>G71*(1+$B$9)</f>
        <v/>
      </c>
      <c r="I71" s="29">
        <f>H71*(1+$B$9)</f>
        <v/>
      </c>
      <c r="J71" s="29">
        <f>I71*(1+$B$9)</f>
        <v/>
      </c>
      <c r="K71" s="29">
        <f>J71*(1+$B$9)</f>
        <v/>
      </c>
    </row>
    <row r="72" ht="15" customHeight="1" s="20">
      <c r="A72" s="24" t="inlineStr">
        <is>
          <t xml:space="preserve">  Friday Coffee/Drinks — Aura Revenue</t>
        </is>
      </c>
      <c r="B72" s="29">
        <f>B71*B70</f>
        <v/>
      </c>
      <c r="C72" s="29">
        <f>C71*$B70</f>
        <v/>
      </c>
      <c r="D72" s="29">
        <f>D71*$B70</f>
        <v/>
      </c>
      <c r="E72" s="29">
        <f>E71*$B70</f>
        <v/>
      </c>
      <c r="F72" s="29">
        <f>F71*$B70</f>
        <v/>
      </c>
      <c r="G72" s="29">
        <f>G71*$B70</f>
        <v/>
      </c>
      <c r="H72" s="29">
        <f>H71*$B70</f>
        <v/>
      </c>
      <c r="I72" s="29">
        <f>I71*$B70</f>
        <v/>
      </c>
      <c r="J72" s="29">
        <f>J71*$B70</f>
        <v/>
      </c>
      <c r="K72" s="29">
        <f>K71*$B70</f>
        <v/>
      </c>
    </row>
    <row r="73"/>
    <row r="74" ht="15" customHeight="1" s="20">
      <c r="A74" s="24" t="inlineStr">
        <is>
          <t xml:space="preserve">  Saturday Day+Night — Guest Count</t>
        </is>
      </c>
      <c r="B74" s="36" t="n">
        <v>280</v>
      </c>
    </row>
    <row r="75" ht="15" customHeight="1" s="20">
      <c r="A75" s="24" t="inlineStr">
        <is>
          <t xml:space="preserve">  Saturday Day+Night — Per-person Spend</t>
        </is>
      </c>
      <c r="B75" s="36" t="n">
        <v>65</v>
      </c>
    </row>
    <row r="76" ht="15" customHeight="1" s="20">
      <c r="A76" s="24" t="inlineStr">
        <is>
          <t xml:space="preserve">  Saturday Day+Night — Share Rate</t>
        </is>
      </c>
      <c r="B76" s="34" t="n">
        <v>0</v>
      </c>
    </row>
    <row r="77" ht="15" customHeight="1" s="20">
      <c r="A77" s="24" t="inlineStr">
        <is>
          <t xml:space="preserve">  Saturday Day+Night — Est. Total Sales (reference)</t>
        </is>
      </c>
      <c r="B77" s="29">
        <f>B74*B75</f>
        <v/>
      </c>
      <c r="C77" s="29">
        <f>B77*(1+$B$9)</f>
        <v/>
      </c>
      <c r="D77" s="29">
        <f>C77*(1+$B$9)</f>
        <v/>
      </c>
      <c r="E77" s="29">
        <f>D77*(1+$B$9)</f>
        <v/>
      </c>
      <c r="F77" s="29">
        <f>E77*(1+$B$9)</f>
        <v/>
      </c>
      <c r="G77" s="29">
        <f>F77*(1+$B$9)</f>
        <v/>
      </c>
      <c r="H77" s="29">
        <f>G77*(1+$B$9)</f>
        <v/>
      </c>
      <c r="I77" s="29">
        <f>H77*(1+$B$9)</f>
        <v/>
      </c>
      <c r="J77" s="29">
        <f>I77*(1+$B$9)</f>
        <v/>
      </c>
      <c r="K77" s="29">
        <f>J77*(1+$B$9)</f>
        <v/>
      </c>
    </row>
    <row r="78" ht="15" customHeight="1" s="20">
      <c r="A78" s="24" t="inlineStr">
        <is>
          <t xml:space="preserve">  Saturday Day+Night — Aura Revenue</t>
        </is>
      </c>
      <c r="B78" s="29">
        <f>B77*B76</f>
        <v/>
      </c>
      <c r="C78" s="29">
        <f>C77*$B76</f>
        <v/>
      </c>
      <c r="D78" s="29">
        <f>D77*$B76</f>
        <v/>
      </c>
      <c r="E78" s="29">
        <f>E77*$B76</f>
        <v/>
      </c>
      <c r="F78" s="29">
        <f>F77*$B76</f>
        <v/>
      </c>
      <c r="G78" s="29">
        <f>G77*$B76</f>
        <v/>
      </c>
      <c r="H78" s="29">
        <f>H77*$B76</f>
        <v/>
      </c>
      <c r="I78" s="29">
        <f>I77*$B76</f>
        <v/>
      </c>
      <c r="J78" s="29">
        <f>J77*$B76</f>
        <v/>
      </c>
      <c r="K78" s="29">
        <f>K77*$B76</f>
        <v/>
      </c>
    </row>
    <row r="79"/>
    <row r="80" ht="15" customHeight="1" s="20">
      <c r="A80" s="24" t="inlineStr">
        <is>
          <t xml:space="preserve">  Sunday Coffee — Guest Count</t>
        </is>
      </c>
      <c r="B80" s="36" t="n">
        <v>80</v>
      </c>
    </row>
    <row r="81" ht="15" customHeight="1" s="20">
      <c r="A81" s="24" t="inlineStr">
        <is>
          <t xml:space="preserve">  Sunday Coffee — Per-person Spend</t>
        </is>
      </c>
      <c r="B81" s="36" t="n">
        <v>8</v>
      </c>
    </row>
    <row r="82" ht="15" customHeight="1" s="20">
      <c r="A82" s="24" t="inlineStr">
        <is>
          <t xml:space="preserve">  Sunday Coffee — Share Rate</t>
        </is>
      </c>
      <c r="B82" s="34" t="n">
        <v>1</v>
      </c>
    </row>
    <row r="83" ht="15" customHeight="1" s="20">
      <c r="A83" s="24" t="inlineStr">
        <is>
          <t xml:space="preserve">  Sunday Coffee — Revenue (fixed, no growth)</t>
        </is>
      </c>
      <c r="B83" s="29">
        <f>$B$80*$B$81*$B$82</f>
        <v/>
      </c>
      <c r="C83" s="29">
        <f>$B$80*$B$81*$B$82</f>
        <v/>
      </c>
      <c r="D83" s="29">
        <f>$B$80*$B$81*$B$82</f>
        <v/>
      </c>
      <c r="E83" s="29">
        <f>$B$80*$B$81*$B$82</f>
        <v/>
      </c>
      <c r="F83" s="29">
        <f>$B$80*$B$81*$B$82</f>
        <v/>
      </c>
      <c r="G83" s="29">
        <f>$B$80*$B$81*$B$82</f>
        <v/>
      </c>
      <c r="H83" s="29">
        <f>$B$80*$B$81*$B$82</f>
        <v/>
      </c>
      <c r="I83" s="29">
        <f>$B$80*$B$81*$B$82</f>
        <v/>
      </c>
      <c r="J83" s="29">
        <f>$B$80*$B$81*$B$82</f>
        <v/>
      </c>
      <c r="K83" s="29">
        <f>$B$80*$B$81*$B$82</f>
        <v/>
      </c>
    </row>
    <row r="84"/>
    <row r="85" ht="15" customHeight="1" s="20">
      <c r="A85" s="26" t="inlineStr">
        <is>
          <t>Bar/F&amp;B Total</t>
        </is>
      </c>
      <c r="B85" s="31">
        <f>B72+B78+B83</f>
        <v/>
      </c>
      <c r="C85" s="31">
        <f>C72+C78+C83</f>
        <v/>
      </c>
      <c r="D85" s="31">
        <f>D72+D78+D83</f>
        <v/>
      </c>
      <c r="E85" s="31">
        <f>E72+E78+E83</f>
        <v/>
      </c>
      <c r="F85" s="31">
        <f>F72+F78+F83</f>
        <v/>
      </c>
      <c r="G85" s="31">
        <f>G72+G78+G83</f>
        <v/>
      </c>
      <c r="H85" s="31">
        <f>H72+H78+H83</f>
        <v/>
      </c>
      <c r="I85" s="31">
        <f>I72+I78+I83</f>
        <v/>
      </c>
      <c r="J85" s="31">
        <f>J72+J78+J83</f>
        <v/>
      </c>
      <c r="K85" s="31">
        <f>K72+K78+K83</f>
        <v/>
      </c>
    </row>
    <row r="86"/>
    <row r="87" ht="15" customHeight="1" s="20">
      <c r="A87" s="22" t="inlineStr">
        <is>
          <t>SECTION 5: DINNER REVENUE</t>
        </is>
      </c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 ht="15" customHeight="1" s="20">
      <c r="A88" s="27" t="n"/>
      <c r="B88" s="28" t="n">
        <v>2027</v>
      </c>
      <c r="C88" s="28" t="n">
        <v>2028</v>
      </c>
      <c r="D88" s="28" t="n">
        <v>2029</v>
      </c>
      <c r="E88" s="28" t="n">
        <v>2030</v>
      </c>
      <c r="F88" s="28" t="n">
        <v>2031</v>
      </c>
      <c r="G88" s="28" t="n">
        <v>2032</v>
      </c>
      <c r="H88" s="28" t="n">
        <v>2033</v>
      </c>
      <c r="I88" s="28" t="n">
        <v>2034</v>
      </c>
      <c r="J88" s="28" t="n">
        <v>2035</v>
      </c>
      <c r="K88" s="28" t="n">
        <v>2036</v>
      </c>
    </row>
    <row r="89" ht="15" customHeight="1" s="20">
      <c r="A89" s="26" t="inlineStr">
        <is>
          <t>Dinner Revenue (manual input)</t>
        </is>
      </c>
      <c r="B89" s="36" t="n">
        <v>0</v>
      </c>
      <c r="C89" s="36" t="n">
        <v>0</v>
      </c>
      <c r="D89" s="36" t="n">
        <v>0</v>
      </c>
      <c r="E89" s="36" t="n">
        <v>0</v>
      </c>
      <c r="F89" s="36" t="n">
        <v>0</v>
      </c>
      <c r="G89" s="36" t="n">
        <v>0</v>
      </c>
      <c r="H89" s="36" t="n">
        <v>0</v>
      </c>
      <c r="I89" s="36" t="n">
        <v>0</v>
      </c>
      <c r="J89" s="36" t="n">
        <v>0</v>
      </c>
      <c r="K89" s="36" t="n">
        <v>0</v>
      </c>
    </row>
    <row r="90" ht="15" customHeight="1" s="20">
      <c r="A90" s="33" t="inlineStr">
        <is>
          <t xml:space="preserve">  BP: 'Dinner is invite-only, sponsor-funded, never sold.' If a dinner-specific sponsor appears, it goes under Partnerships.</t>
        </is>
      </c>
    </row>
    <row r="91"/>
    <row r="92" ht="15" customHeight="1" s="20">
      <c r="A92" s="22" t="inlineStr">
        <is>
          <t>SECTION 6: OTHER REVENUE</t>
        </is>
      </c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15" customHeight="1" s="20">
      <c r="A93" s="27" t="n"/>
      <c r="B93" s="28" t="n">
        <v>2027</v>
      </c>
      <c r="C93" s="28" t="n">
        <v>2028</v>
      </c>
      <c r="D93" s="28" t="n">
        <v>2029</v>
      </c>
      <c r="E93" s="28" t="n">
        <v>2030</v>
      </c>
      <c r="F93" s="28" t="n">
        <v>2031</v>
      </c>
      <c r="G93" s="28" t="n">
        <v>2032</v>
      </c>
      <c r="H93" s="28" t="n">
        <v>2033</v>
      </c>
      <c r="I93" s="28" t="n">
        <v>2034</v>
      </c>
      <c r="J93" s="28" t="n">
        <v>2035</v>
      </c>
      <c r="K93" s="28" t="n">
        <v>2036</v>
      </c>
    </row>
    <row r="94" ht="15" customHeight="1" s="20">
      <c r="A94" s="26" t="inlineStr">
        <is>
          <t>Other Revenue</t>
        </is>
      </c>
      <c r="B94" s="36" t="n">
        <v>2000</v>
      </c>
      <c r="C94" s="29">
        <f>B94*(1+'P&amp;L'!$B$4)</f>
        <v/>
      </c>
      <c r="D94" s="29">
        <f>C94*(1+'P&amp;L'!$B$4)</f>
        <v/>
      </c>
      <c r="E94" s="29">
        <f>D94*(1+'P&amp;L'!$B$4)</f>
        <v/>
      </c>
      <c r="F94" s="29">
        <f>E94*(1+'P&amp;L'!$B$4)</f>
        <v/>
      </c>
      <c r="G94" s="29">
        <f>F94*(1+'P&amp;L'!$B$4)</f>
        <v/>
      </c>
      <c r="H94" s="29">
        <f>G94*(1+'P&amp;L'!$B$4)</f>
        <v/>
      </c>
      <c r="I94" s="29">
        <f>H94*(1+'P&amp;L'!$B$4)</f>
        <v/>
      </c>
      <c r="J94" s="29">
        <f>I94*(1+'P&amp;L'!$B$4)</f>
        <v/>
      </c>
      <c r="K94" s="29">
        <f>J94*(1+'P&amp;L'!$B$4)</f>
        <v/>
      </c>
    </row>
    <row r="95" ht="15" customHeight="1" s="20">
      <c r="A95" s="33" t="inlineStr">
        <is>
          <t xml:space="preserve">  Other Revenue grows with General Inflation Rate (P&amp;L sheet). Contents: add-ons, upselling, merchandise.</t>
        </is>
      </c>
    </row>
    <row r="96"/>
    <row r="97" ht="15" customHeight="1" s="20">
      <c r="A97" s="22" t="inlineStr">
        <is>
          <t>REVENUE TOTALS</t>
        </is>
      </c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 ht="15" customHeight="1" s="20">
      <c r="A98" s="27" t="n"/>
      <c r="B98" s="28" t="n">
        <v>2027</v>
      </c>
      <c r="C98" s="28" t="n">
        <v>2028</v>
      </c>
      <c r="D98" s="28" t="n">
        <v>2029</v>
      </c>
      <c r="E98" s="28" t="n">
        <v>2030</v>
      </c>
      <c r="F98" s="28" t="n">
        <v>2031</v>
      </c>
      <c r="G98" s="28" t="n">
        <v>2032</v>
      </c>
      <c r="H98" s="28" t="n">
        <v>2033</v>
      </c>
      <c r="I98" s="28" t="n">
        <v>2034</v>
      </c>
      <c r="J98" s="28" t="n">
        <v>2035</v>
      </c>
      <c r="K98" s="28" t="n">
        <v>2036</v>
      </c>
    </row>
    <row r="99" ht="15" customHeight="1" s="20">
      <c r="A99" s="26" t="inlineStr">
        <is>
          <t>TOTAL WINTER REVENUE</t>
        </is>
      </c>
      <c r="B99" s="31">
        <f>B40+B56+B61+B85+B89+B94</f>
        <v/>
      </c>
      <c r="C99" s="31">
        <f>C40+C56+C61+C85+C89+C94</f>
        <v/>
      </c>
      <c r="D99" s="31">
        <f>D40+D56+D61+D85+D89+D94</f>
        <v/>
      </c>
      <c r="E99" s="31">
        <f>E40+E56+E61+E85+E89+E94</f>
        <v/>
      </c>
      <c r="F99" s="31">
        <f>F40+F56+F61+F85+F89+F94</f>
        <v/>
      </c>
      <c r="G99" s="31">
        <f>G40+G56+G61+G85+G89+G94</f>
        <v/>
      </c>
      <c r="H99" s="31">
        <f>H40+H56+H61+H85+H89+H94</f>
        <v/>
      </c>
      <c r="I99" s="31">
        <f>I40+I56+I61+I85+I89+I94</f>
        <v/>
      </c>
      <c r="J99" s="31">
        <f>J40+J56+J61+J85+J89+J94</f>
        <v/>
      </c>
      <c r="K99" s="31">
        <f>K40+K56+K61+K85+K89+K94</f>
        <v/>
      </c>
    </row>
    <row r="100" ht="15" customHeight="1" s="20">
      <c r="A100" s="24" t="inlineStr">
        <is>
          <t>Summer Revenue</t>
        </is>
      </c>
      <c r="B100" s="29">
        <f>IF(2027&gt;=$B$13,B99*$B$11,0)</f>
        <v/>
      </c>
      <c r="C100" s="29">
        <f>IF(2028&gt;=$B$13,C99*$B$11,0)</f>
        <v/>
      </c>
      <c r="D100" s="29">
        <f>IF(2029&gt;=$B$13,D99*$B$11,0)</f>
        <v/>
      </c>
      <c r="E100" s="29">
        <f>IF(2030&gt;=$B$13,E99*$B$11,0)</f>
        <v/>
      </c>
      <c r="F100" s="29">
        <f>IF(2031&gt;=$B$13,F99*$B$11,0)</f>
        <v/>
      </c>
      <c r="G100" s="29">
        <f>IF(2032&gt;=$B$13,G99*$B$11,0)</f>
        <v/>
      </c>
      <c r="H100" s="29">
        <f>IF(2033&gt;=$B$13,H99*$B$11,0)</f>
        <v/>
      </c>
      <c r="I100" s="29">
        <f>IF(2034&gt;=$B$13,I99*$B$11,0)</f>
        <v/>
      </c>
      <c r="J100" s="29">
        <f>IF(2035&gt;=$B$13,J99*$B$11,0)</f>
        <v/>
      </c>
      <c r="K100" s="29">
        <f>IF(2036&gt;=$B$13,K99*$B$11,0)</f>
        <v/>
      </c>
    </row>
    <row r="101" ht="15" customHeight="1" s="20">
      <c r="A101" s="26" t="inlineStr">
        <is>
          <t>TOTAL ANNUAL REVENUE</t>
        </is>
      </c>
      <c r="B101" s="31">
        <f>B99+B100</f>
        <v/>
      </c>
      <c r="C101" s="31">
        <f>C99+C100</f>
        <v/>
      </c>
      <c r="D101" s="31">
        <f>D99+D100</f>
        <v/>
      </c>
      <c r="E101" s="31">
        <f>E99+E100</f>
        <v/>
      </c>
      <c r="F101" s="31">
        <f>F99+F100</f>
        <v/>
      </c>
      <c r="G101" s="31">
        <f>G99+G100</f>
        <v/>
      </c>
      <c r="H101" s="31">
        <f>H99+H100</f>
        <v/>
      </c>
      <c r="I101" s="31">
        <f>I99+I100</f>
        <v/>
      </c>
      <c r="J101" s="31">
        <f>J99+J100</f>
        <v/>
      </c>
      <c r="K101" s="31">
        <f>K99+K100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34" t="n">
        <v>0.02</v>
      </c>
    </row>
    <row r="5" ht="15" customHeight="1" s="20">
      <c r="A5" s="24" t="inlineStr">
        <is>
          <t>Tax Rate (Uri canton combined)</t>
        </is>
      </c>
      <c r="B5" s="34" t="n">
        <v>0.1264</v>
      </c>
    </row>
    <row r="6" ht="15" customHeight="1" s="20">
      <c r="A6" s="24" t="inlineStr">
        <is>
          <t>Initial Capital (GmbH paid-in)</t>
        </is>
      </c>
      <c r="B6" s="36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Revenue!B85</f>
        <v/>
      </c>
      <c r="C13" s="29">
        <f>Revenue!C85</f>
        <v/>
      </c>
      <c r="D13" s="29">
        <f>Revenue!D85</f>
        <v/>
      </c>
      <c r="E13" s="29">
        <f>Revenue!E85</f>
        <v/>
      </c>
      <c r="F13" s="29">
        <f>Revenue!F85</f>
        <v/>
      </c>
      <c r="G13" s="29">
        <f>Revenue!G85</f>
        <v/>
      </c>
      <c r="H13" s="29">
        <f>Revenue!H85</f>
        <v/>
      </c>
      <c r="I13" s="29">
        <f>Revenue!I85</f>
        <v/>
      </c>
      <c r="J13" s="29">
        <f>Revenue!J85</f>
        <v/>
      </c>
      <c r="K13" s="29">
        <f>Revenue!K85</f>
        <v/>
      </c>
    </row>
    <row r="14" ht="15" customHeight="1" s="20">
      <c r="A14" s="24" t="inlineStr">
        <is>
          <t xml:space="preserve">  Dinner Revenue</t>
        </is>
      </c>
      <c r="B14" s="29">
        <f>Revenue!B89</f>
        <v/>
      </c>
      <c r="C14" s="29">
        <f>Revenue!C89</f>
        <v/>
      </c>
      <c r="D14" s="29">
        <f>Revenue!D89</f>
        <v/>
      </c>
      <c r="E14" s="29">
        <f>Revenue!E89</f>
        <v/>
      </c>
      <c r="F14" s="29">
        <f>Revenue!F89</f>
        <v/>
      </c>
      <c r="G14" s="29">
        <f>Revenue!G89</f>
        <v/>
      </c>
      <c r="H14" s="29">
        <f>Revenue!H89</f>
        <v/>
      </c>
      <c r="I14" s="29">
        <f>Revenue!I89</f>
        <v/>
      </c>
      <c r="J14" s="29">
        <f>Revenue!J89</f>
        <v/>
      </c>
      <c r="K14" s="29">
        <f>Revenue!K89</f>
        <v/>
      </c>
    </row>
    <row r="15" ht="15" customHeight="1" s="20">
      <c r="A15" s="24" t="inlineStr">
        <is>
          <t xml:space="preserve">  Other Revenue</t>
        </is>
      </c>
      <c r="B15" s="29">
        <f>Revenue!B94</f>
        <v/>
      </c>
      <c r="C15" s="29">
        <f>Revenue!C94</f>
        <v/>
      </c>
      <c r="D15" s="29">
        <f>Revenue!D94</f>
        <v/>
      </c>
      <c r="E15" s="29">
        <f>Revenue!E94</f>
        <v/>
      </c>
      <c r="F15" s="29">
        <f>Revenue!F94</f>
        <v/>
      </c>
      <c r="G15" s="29">
        <f>Revenue!G94</f>
        <v/>
      </c>
      <c r="H15" s="29">
        <f>Revenue!H94</f>
        <v/>
      </c>
      <c r="I15" s="29">
        <f>Revenue!I94</f>
        <v/>
      </c>
      <c r="J15" s="29">
        <f>Revenue!J94</f>
        <v/>
      </c>
      <c r="K15" s="29">
        <f>Revenue!K94</f>
        <v/>
      </c>
    </row>
    <row r="16"/>
    <row r="17" ht="15" customHeight="1" s="20">
      <c r="A17" s="26" t="inlineStr">
        <is>
          <t>TOTAL REVENUE</t>
        </is>
      </c>
      <c r="B17" s="31">
        <f>Revenue!B101</f>
        <v/>
      </c>
      <c r="C17" s="31">
        <f>Revenue!C101</f>
        <v/>
      </c>
      <c r="D17" s="31">
        <f>Revenue!D101</f>
        <v/>
      </c>
      <c r="E17" s="31">
        <f>Revenue!E101</f>
        <v/>
      </c>
      <c r="F17" s="31">
        <f>Revenue!F101</f>
        <v/>
      </c>
      <c r="G17" s="31">
        <f>Revenue!G101</f>
        <v/>
      </c>
      <c r="H17" s="31">
        <f>Revenue!H101</f>
        <v/>
      </c>
      <c r="I17" s="31">
        <f>Revenue!I101</f>
        <v/>
      </c>
      <c r="J17" s="31">
        <f>Revenue!J101</f>
        <v/>
      </c>
      <c r="K17" s="31">
        <f>Revenue!K101</f>
        <v/>
      </c>
    </row>
    <row r="18"/>
    <row r="19" ht="15" customHeight="1" s="20">
      <c r="A19" s="22" t="inlineStr">
        <is>
          <t>Costs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22" t="inlineStr">
        <is>
          <t>GLOBAL COST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34" t="n">
        <v>0.03</v>
      </c>
    </row>
    <row r="5" ht="15" customHeight="1" s="20">
      <c r="A5" s="24" t="inlineStr">
        <is>
          <t>Ambition Growth Rate (Category C)</t>
        </is>
      </c>
      <c r="B5" s="34" t="n">
        <v>0.06</v>
      </c>
    </row>
    <row r="6" ht="15" customHeight="1" s="20">
      <c r="A6" s="24" t="inlineStr">
        <is>
          <t>Contingency %</t>
        </is>
      </c>
      <c r="B6" s="34" t="n">
        <v>0.09</v>
      </c>
    </row>
    <row r="7"/>
    <row r="8" ht="15" customHeight="1" s="20">
      <c r="A8" s="33" t="inlineStr">
        <is>
          <t>COST CATEGORY DEFINITIONS:</t>
        </is>
      </c>
    </row>
    <row r="9" ht="15" customHeight="1" s="20">
      <c r="A9" s="3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33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33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33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36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36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36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36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36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36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36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36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36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36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36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36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36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36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36" t="n">
        <v>8000</v>
      </c>
      <c r="C53" s="36" t="n">
        <v>8000</v>
      </c>
      <c r="D53" s="36" t="n">
        <v>8000</v>
      </c>
      <c r="E53" s="36" t="n">
        <v>39000</v>
      </c>
      <c r="F53" s="36" t="n">
        <v>39000</v>
      </c>
      <c r="G53" s="36" t="n">
        <v>39000</v>
      </c>
      <c r="H53" s="36" t="n">
        <v>55000</v>
      </c>
      <c r="I53" s="36" t="n">
        <v>56000</v>
      </c>
      <c r="J53" s="36" t="n">
        <v>58000</v>
      </c>
      <c r="K53" s="36" t="n">
        <v>60000</v>
      </c>
    </row>
    <row r="54" ht="15" customHeight="1" s="20">
      <c r="A54" s="3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36" t="n">
        <v>10000</v>
      </c>
      <c r="C55" s="36" t="n">
        <v>20000</v>
      </c>
      <c r="D55" s="36" t="n">
        <v>30000</v>
      </c>
      <c r="E55" s="36" t="n">
        <v>50000</v>
      </c>
      <c r="F55" s="36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2026-10-01T17:22:00Z</dcterms:modified>
  <cp:revision>1</cp:revision>
</cp:coreProperties>
</file>
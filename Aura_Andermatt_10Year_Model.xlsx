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Revenue" sheetId="2" state="visible" r:id="rId2"/>
    <sheet name="P&amp;L" sheetId="3" state="visible" r:id="rId3"/>
    <sheet name="Cost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[Red]-#,##0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666666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family val="2"/>
      <sz val="10"/>
    </font>
    <font>
      <name val="Calibri"/>
      <b val="1"/>
      <color rgb="001F4E79"/>
      <sz val="18"/>
    </font>
    <font>
      <name val="Calibri"/>
      <color rgb="00666666"/>
      <sz val="10"/>
    </font>
    <font>
      <name val="Calibri"/>
      <b val="1"/>
      <color rgb="00333333"/>
      <sz val="16"/>
    </font>
    <font>
      <name val="Calibri"/>
      <color rgb="00888888"/>
      <sz val="9"/>
    </font>
    <font>
      <name val="Calibri"/>
      <b val="1"/>
      <color rgb="001F4E79"/>
      <sz val="13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333333"/>
      <sz val="10"/>
    </font>
    <font>
      <name val="Calibri"/>
      <b val="1"/>
      <color rgb="001F4E79"/>
      <sz val="10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00D6E4F0"/>
        <bgColor rgb="00D6E4F0"/>
      </patternFill>
    </fill>
    <fill>
      <patternFill patternType="solid">
        <fgColor rgb="00FFFFFF"/>
        <bgColor rgb="00FFFFFF"/>
      </patternFill>
    </fill>
    <fill>
      <patternFill patternType="solid">
        <fgColor rgb="001F4E79"/>
        <bgColor rgb="001F4E79"/>
      </patternFill>
    </fill>
    <fill>
      <patternFill patternType="solid">
        <fgColor rgb="00FDE8E8"/>
        <bgColor rgb="00FDE8E8"/>
      </patternFill>
    </fill>
    <fill>
      <patternFill patternType="solid">
        <fgColor rgb="00C62828"/>
        <bgColor rgb="00C62828"/>
      </patternFill>
    </fill>
    <fill>
      <patternFill patternType="solid">
        <fgColor rgb="00E8F5E9"/>
        <bgColor rgb="00E8F5E9"/>
      </patternFill>
    </fill>
    <fill>
      <patternFill patternType="solid">
        <fgColor rgb="002E7D32"/>
        <bgColor rgb="002E7D32"/>
      </patternFill>
    </fill>
    <fill>
      <patternFill patternType="solid">
        <fgColor rgb="00F2F2F2"/>
        <bgColor rgb="00F2F2F2"/>
      </patternFill>
    </fill>
    <fill>
      <patternFill patternType="solid">
        <fgColor rgb="00FFFF00"/>
        <bgColor rgb="00FFFF00"/>
      </patternFill>
    </fill>
  </fills>
  <borders count="4">
    <border>
      <left/>
      <right/>
      <top/>
      <bottom/>
      <diagonal/>
    </border>
    <border>
      <left/>
      <right/>
      <top/>
      <bottom style="thin"/>
      <diagonal/>
    </border>
    <border>
      <bottom style="thin">
        <color rgb="00D9D9D9"/>
      </bottom>
    </border>
    <border>
      <bottom style="medium">
        <color rgb="001F4E7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2" fontId="7" fillId="4" borderId="0" applyAlignment="1" pivotButton="0" quotePrefix="0" xfId="0">
      <alignment horizontal="general" vertical="bottom"/>
    </xf>
    <xf numFmtId="3" fontId="7" fillId="4" borderId="0" applyAlignment="1" pivotButton="0" quotePrefix="0" xfId="0">
      <alignment horizontal="general" vertical="bottom"/>
    </xf>
    <xf numFmtId="1" fontId="7" fillId="4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pivotButton="0" quotePrefix="0" xfId="0"/>
    <xf numFmtId="0" fontId="13" fillId="0" borderId="0" applyAlignment="1" pivotButton="0" quotePrefix="0" xfId="0">
      <alignment vertical="center"/>
    </xf>
    <xf numFmtId="0" fontId="14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3" fontId="15" fillId="6" borderId="0" applyAlignment="1" pivotButton="0" quotePrefix="0" xfId="0">
      <alignment horizontal="center" vertical="center"/>
    </xf>
    <xf numFmtId="165" fontId="15" fillId="6" borderId="0" applyAlignment="1" pivotButton="0" quotePrefix="0" xfId="0">
      <alignment horizontal="center" vertical="center"/>
    </xf>
    <xf numFmtId="1" fontId="15" fillId="6" borderId="0" applyAlignment="1" pivotButton="0" quotePrefix="0" xfId="0">
      <alignment horizontal="center" vertical="center"/>
    </xf>
    <xf numFmtId="0" fontId="16" fillId="6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7" borderId="0" pivotButton="0" quotePrefix="0" xfId="0"/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5" fontId="19" fillId="0" borderId="2" applyAlignment="1" pivotButton="0" quotePrefix="0" xfId="0">
      <alignment horizontal="right" vertical="center"/>
    </xf>
    <xf numFmtId="0" fontId="20" fillId="0" borderId="0" pivotButton="0" quotePrefix="0" xfId="0"/>
    <xf numFmtId="165" fontId="20" fillId="0" borderId="3" applyAlignment="1" pivotButton="0" quotePrefix="0" xfId="0">
      <alignment horizontal="right" vertical="center"/>
    </xf>
    <xf numFmtId="165" fontId="19" fillId="0" borderId="0" applyAlignment="1" pivotButton="0" quotePrefix="0" xfId="0">
      <alignment horizontal="right" vertical="center"/>
    </xf>
    <xf numFmtId="0" fontId="17" fillId="8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18" fillId="9" borderId="0" applyAlignment="1" pivotButton="0" quotePrefix="0" xfId="0">
      <alignment horizontal="center" vertical="center"/>
    </xf>
    <xf numFmtId="0" fontId="17" fillId="10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18" fillId="11" borderId="0" applyAlignment="1" pivotButton="0" quotePrefix="0" xfId="0">
      <alignment horizontal="center" vertical="center"/>
    </xf>
    <xf numFmtId="0" fontId="0" fillId="12" borderId="0" pivotButton="0" quotePrefix="0" xfId="0"/>
    <xf numFmtId="0" fontId="21" fillId="8" borderId="0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10" borderId="0" applyAlignment="1" pivotButton="0" quotePrefix="0" xfId="0">
      <alignment horizontal="center" vertical="center"/>
    </xf>
    <xf numFmtId="0" fontId="16" fillId="0" borderId="0" pivotButton="0" quotePrefix="0" xfId="0"/>
    <xf numFmtId="0" fontId="21" fillId="0" borderId="0" pivotButton="0" quotePrefix="0" xfId="0"/>
    <xf numFmtId="2" fontId="22" fillId="13" borderId="0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3" fontId="7" fillId="4" borderId="0" applyAlignment="1" applyProtection="1" pivotButton="0" quotePrefix="0" xfId="0">
      <alignment horizontal="general" vertical="bottom"/>
      <protection locked="0" hidden="0"/>
    </xf>
    <xf numFmtId="2" fontId="7" fillId="4" borderId="0" applyAlignment="1" applyProtection="1" pivotButton="0" quotePrefix="0" xfId="0">
      <alignment horizontal="general" vertical="bottom"/>
      <protection locked="0" hidden="0"/>
    </xf>
    <xf numFmtId="164" fontId="7" fillId="4" borderId="0" applyAlignment="1" applyProtection="1" pivotButton="0" quotePrefix="0" xfId="0">
      <alignment horizontal="general" vertical="bottom"/>
      <protection locked="0" hidden="0"/>
    </xf>
    <xf numFmtId="1" fontId="7" fillId="4" borderId="0" applyAlignment="1" applyProtection="1" pivotButton="0" quotePrefix="0" xfId="0">
      <alignment horizontal="general" vertical="bottom"/>
      <protection locked="0" hidden="0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9F9F9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666666"/>
      <rgbColor rgb="FF9BBB59"/>
      <rgbColor rgb="FF003366"/>
      <rgbColor rgb="FF4F81BD"/>
      <rgbColor rgb="FF003300"/>
      <rgbColor rgb="FF333300"/>
      <rgbColor rgb="FF993300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Total Revenue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'Dashboard'!$B$8:$K$8</f>
            </numRef>
          </cat>
          <val>
            <numRef>
              <f>'Dashboard'!$B$12:$K$12</f>
            </numRef>
          </val>
        </ser>
        <ser>
          <idx val="1"/>
          <order val="1"/>
          <tx>
            <v>Downside</v>
          </tx>
          <spPr>
            <a:ln w="20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'Dashboard'!$B$8:$K$8</f>
            </numRef>
          </cat>
          <val>
            <numRef>
              <f>'Dashboard'!$B$24:$K$24</f>
            </numRef>
          </val>
        </ser>
        <ser>
          <idx val="2"/>
          <order val="2"/>
          <tx>
            <v>Upside</v>
          </tx>
          <spPr>
            <a:ln w="20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'Dashboard'!$B$8:$K$8</f>
            </numRef>
          </cat>
          <val>
            <numRef>
              <f>'Dashboard'!$B$36:$K$36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EBIT</a:t>
            </a:r>
          </a:p>
        </rich>
      </tx>
    </title>
    <plotArea>
      <barChart>
        <barDir val="col"/>
        <grouping val="clustered"/>
        <ser>
          <idx val="0"/>
          <order val="0"/>
          <tx>
            <v>Base</v>
          </tx>
          <spPr>
            <a:solidFill>
              <a:srgbClr val="1F4E79"/>
            </a:solidFill>
            <a:ln>
              <a:prstDash val="solid"/>
            </a:ln>
          </spPr>
          <dLbls>
            <numFmt formatCode="#,##0"/>
            <showVal val="1"/>
            <showCatName val="0"/>
            <showSerName val="0"/>
          </dLbls>
          <cat>
            <numRef>
              <f>'Dashboard'!$B$8:$K$8</f>
            </numRef>
          </cat>
          <val>
            <numRef>
              <f>'Dashboard'!$B$14:$K$14</f>
            </numRef>
          </val>
        </ser>
        <ser>
          <idx val="1"/>
          <order val="1"/>
          <tx>
            <v>Downside</v>
          </tx>
          <spPr>
            <a:solidFill>
              <a:srgbClr val="C62828"/>
            </a:solidFill>
            <a:ln>
              <a:prstDash val="solid"/>
            </a:ln>
          </spPr>
          <cat>
            <numRef>
              <f>'Dashboard'!$B$8:$K$8</f>
            </numRef>
          </cat>
          <val>
            <numRef>
              <f>'Dashboard'!$B$26:$K$26</f>
            </numRef>
          </val>
        </ser>
        <ser>
          <idx val="2"/>
          <order val="2"/>
          <tx>
            <v>Upside</v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'Dashboard'!$B$8:$K$8</f>
            </numRef>
          </cat>
          <val>
            <numRef>
              <f>'Dashboard'!$B$38:$K$38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  <crossesAt val="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Cumulative Cash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'Dashboard'!$B$8:$K$8</f>
            </numRef>
          </cat>
          <val>
            <numRef>
              <f>'Dashboard'!$B$17:$K$17</f>
            </numRef>
          </val>
        </ser>
        <ser>
          <idx val="1"/>
          <order val="1"/>
          <tx>
            <v>Downside</v>
          </tx>
          <spPr>
            <a:ln w="20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'Dashboard'!$B$8:$K$8</f>
            </numRef>
          </cat>
          <val>
            <numRef>
              <f>'Dashboard'!$B$29:$K$29</f>
            </numRef>
          </val>
        </ser>
        <ser>
          <idx val="2"/>
          <order val="2"/>
          <tx>
            <v>Upside</v>
          </tx>
          <spPr>
            <a:ln w="20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'Dashboard'!$B$8:$K$8</f>
            </numRef>
          </cat>
          <val>
            <numRef>
              <f>'Dashboard'!$B$41:$K$41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6" authorId="0" shapeId="0">
      <text>
        <t>Net factor = (1 - 8.1% VAT) × (1 - ~4% platform/payment fees) ≈ 0.89</t>
      </text>
    </comment>
    <comment ref="B7" authorId="0" shapeId="0">
      <text>
        <t>BP states +8%/yr to 2030, +4%/yr after. Two-phase growth as per BP Section 11.</t>
      </text>
    </comment>
    <comment ref="B10" authorId="0" shapeId="0">
      <text>
        <t>Applied to 2031 Partnership Total to auto-calculate 2032-2036.</t>
      </text>
    </comment>
    <comment ref="B11" authorId="0" shapeId="0">
      <text>
        <t>Set to 0 to remove summer edition. Revenue and cost multipliers can differ.
Summer edition revenue and costs are calculated as a percentage of winter edition results.
Source: BP Section 11 — '~55% of winter revenue'.
Note: BP text states ~55%, but BP P&amp;L numbers imply ~43%. Model uses 55% per BP text.</t>
      </text>
    </comment>
    <comment ref="B12" authorId="0" shapeId="0">
      <text>
        <t>Source: BP Section 11 — '~50% of winter costs'.</t>
      </text>
    </comment>
    <comment ref="B13" authorId="0" shapeId="0">
      <text>
        <t>Summer edition starts from this year. BP Section 08: 'July/August from 2027'.</t>
      </text>
    </comment>
    <comment ref="D56" authorId="0" shapeId="0">
      <text>
        <t>Tier breakdown is estimated to match BP totals. Adjust price and count per tier as needed.</t>
      </text>
    </comment>
    <comment ref="E56" authorId="0" shapeId="0">
      <text>
        <t>Tier breakdown is estimated to match BP totals. Adjust price and count per tier as needed.</t>
      </text>
    </comment>
    <comment ref="F56" authorId="0" shapeId="0">
      <text>
        <t>Tier breakdown is estimated to match BP totals. Adjust price and count per tier as needed.</t>
      </text>
    </comment>
    <comment ref="J61" authorId="0" shapeId="0">
      <text>
        <t>BP states Phase 3 as 30/35/35/40. Adjusted to 30/35/40/45 assuming the 35k repeat was unintentional.</t>
      </text>
    </comment>
    <comment ref="B82" authorId="0" shapeId="0">
      <text>
        <t>100% Aura revenue (self-operated by GRÜEZI). Related costs are included in Sunday Program cost line.</t>
      </text>
    </comment>
    <comment ref="B89" authorId="0" shapeId="0">
      <text>
        <t>Currently set to 0. Can be used to model dinner revenue if a share agreement is negotiated with the restaurant. Enter a flat CHF amount per year.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B4" authorId="0" shapeId="0">
      <text>
        <t>Contractual rate, NOT inflation. BP: 'CHF 27,550 + VAT in 2027, then +3%/yr'.</t>
      </text>
    </comment>
    <comment ref="B5" authorId="0" shapeId="0">
      <text>
        <t>As Aura grows its brand and production value, Category C costs grow accordingly.</t>
      </text>
    </comment>
    <comment ref="B6" authorId="0" shapeId="0">
      <text>
        <t>Buffer for unexpected expenses. Calculated as % of total direct costs (A+B+C).</t>
      </text>
    </comment>
    <comment ref="B16" authorId="0" shapeId="0">
      <text>
        <t>BP assumption table says '27,550 + VAT' but detailed calculation shows 27,951 incl. VAT. Only Gütsch (4,950) is quoted excl. VAT; other venues are F&amp;B minimums incl. VAT.</t>
      </text>
    </comment>
    <comment ref="B17" authorId="0" shapeId="0">
      <text>
        <t>Estimated guest F&amp;B spend credited toward venue minimums. If guests spend less, Aura covers the gap. Grows with Venue Contract Escalation (3%/yr) as menu prices rise with venue costs.</t>
      </text>
    </comment>
    <comment ref="B20" authorId="0" shapeId="0">
      <text>
        <t>Includes ski/workout session and GRÜEZI coffee operation costs. Sunday Coffee revenue (100% Aura) is on the Revenue sheet.</t>
      </text>
    </comment>
    <comment ref="B26" authorId="0" shapeId="0">
      <text>
        <t>BP: 'Each ticket comes with two figurines.' Based on Ticket Count (250), not Guest Count (280). 250 × 2 drinks × CHF 9 = 4,500.</t>
      </text>
    </comment>
    <comment ref="B55" authorId="0" shapeId="0">
      <text>
        <t>Alternative approach: Link to % of profit (e.g., 30% of EBIT split between founders). This ties compensation to performance and is easier to justify to investors.
2027-2031: Manual input (compensation grows as the business establishes).
2032-2036: Auto-calculated at +4%/year from 2031 value.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0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15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30</row>
      <rowOff>0</rowOff>
    </from>
    <ext cx="792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32" customWidth="1" style="19" min="1" max="1"/>
    <col width="14" customWidth="1" style="19" min="2" max="2"/>
    <col width="14" customWidth="1" style="19" min="3" max="3"/>
    <col width="14" customWidth="1" style="19" min="4" max="4"/>
    <col width="14" customWidth="1" style="19" min="5" max="5"/>
    <col width="14" customWidth="1" style="19" min="6" max="6"/>
    <col width="14" customWidth="1" style="19" min="7" max="7"/>
    <col width="14" customWidth="1" style="19" min="8" max="8"/>
    <col width="14" customWidth="1" style="19" min="9" max="9"/>
    <col width="14" customWidth="1" style="19" min="10" max="10"/>
    <col width="14" customWidth="1" style="19" min="11" max="11"/>
  </cols>
  <sheetData>
    <row r="1" ht="36" customHeight="1" s="19">
      <c r="A1" s="20" t="inlineStr">
        <is>
          <t>AURA ANDERMATT — DASHBOARD</t>
        </is>
      </c>
    </row>
    <row r="2" ht="6" customHeight="1" s="19"/>
    <row r="3" ht="20" customHeight="1" s="19">
      <c r="A3" s="21" t="inlineStr">
        <is>
          <t>10-Year Cumulative Cash</t>
        </is>
      </c>
      <c r="B3" s="22" t="n"/>
      <c r="C3" s="23" t="n"/>
      <c r="D3" s="21" t="inlineStr">
        <is>
          <t>2027 Profit After Tax</t>
        </is>
      </c>
      <c r="E3" s="22" t="n"/>
      <c r="F3" s="23" t="n"/>
      <c r="G3" s="21" t="inlineStr">
        <is>
          <t>10-Year Total Revenue</t>
        </is>
      </c>
      <c r="H3" s="22" t="n"/>
      <c r="I3" s="23" t="n"/>
      <c r="J3" s="21" t="inlineStr">
        <is>
          <t>Break-Even Year (Base)</t>
        </is>
      </c>
      <c r="K3" s="22" t="n"/>
    </row>
    <row r="4" ht="30" customHeight="1" s="19">
      <c r="A4" s="24">
        <f>K20</f>
        <v/>
      </c>
      <c r="B4" s="23" t="n"/>
      <c r="C4" s="23" t="n"/>
      <c r="D4" s="25">
        <f>B19</f>
        <v/>
      </c>
      <c r="E4" s="23" t="n"/>
      <c r="F4" s="23" t="n"/>
      <c r="G4" s="24">
        <f>SUM(B15:K15)</f>
        <v/>
      </c>
      <c r="H4" s="23" t="n"/>
      <c r="I4" s="23" t="n"/>
      <c r="J4" s="26">
        <f>IF(B20&gt;0,2027,IF(C20&gt;0,2028,IF(D20&gt;0,2029,IF(E20&gt;0,2030,IF(F20&gt;0,2031,IF(G20&gt;0,2032,IF(H20&gt;0,2033,IF(I20&gt;0,2034,IF(J20&gt;0,2035,IF(K20&gt;0,2036,"N/A"))))))))))</f>
        <v/>
      </c>
      <c r="K4" s="23" t="n"/>
    </row>
    <row r="5" ht="18" customHeight="1" s="19">
      <c r="A5" s="27">
        <f>"Down: "&amp;TEXT(K32,"#,##0")&amp;"  |  Up: "&amp;TEXT(K44,"#,##0")</f>
        <v/>
      </c>
      <c r="B5" s="23" t="n"/>
      <c r="C5" s="23" t="n"/>
      <c r="D5" s="27">
        <f>"Down: "&amp;TEXT(B31,"#,##0")&amp;"  |  Up: "&amp;TEXT(B43,"#,##0")</f>
        <v/>
      </c>
      <c r="E5" s="23" t="n"/>
      <c r="F5" s="23" t="n"/>
      <c r="G5" s="27">
        <f>"Down: "&amp;TEXT(SUM(B27:K27),"#,##0")&amp;"  |  Up: "&amp;TEXT(SUM(B39:K39),"#,##0")</f>
        <v/>
      </c>
      <c r="H5" s="23" t="n"/>
      <c r="I5" s="23" t="n"/>
      <c r="J5" s="27">
        <f>"(Cumulative cash turns positive)"</f>
        <v/>
      </c>
      <c r="K5" s="23" t="n"/>
    </row>
    <row r="6" ht="6" customHeight="1" s="19"/>
    <row r="7" ht="22" customHeight="1" s="19">
      <c r="A7" s="28" t="inlineStr">
        <is>
          <t>BASE SCENARIO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29" t="n"/>
      <c r="B8" s="30" t="n">
        <v>2027</v>
      </c>
      <c r="C8" s="30" t="n">
        <v>2028</v>
      </c>
      <c r="D8" s="30" t="n">
        <v>2029</v>
      </c>
      <c r="E8" s="30" t="n">
        <v>2030</v>
      </c>
      <c r="F8" s="30" t="n">
        <v>2031</v>
      </c>
      <c r="G8" s="30" t="n">
        <v>2032</v>
      </c>
      <c r="H8" s="30" t="n">
        <v>2033</v>
      </c>
      <c r="I8" s="30" t="n">
        <v>2034</v>
      </c>
      <c r="J8" s="30" t="n">
        <v>2035</v>
      </c>
      <c r="K8" s="30" t="n">
        <v>2036</v>
      </c>
    </row>
    <row r="9">
      <c r="A9" s="31" t="inlineStr">
        <is>
          <t xml:space="preserve">  Net Ticket Revenue</t>
        </is>
      </c>
      <c r="B9" s="32">
        <f>'P&amp;L'!B10*$C$47</f>
        <v/>
      </c>
      <c r="C9" s="32">
        <f>'P&amp;L'!C10*$C$47</f>
        <v/>
      </c>
      <c r="D9" s="32">
        <f>'P&amp;L'!D10*$C$47</f>
        <v/>
      </c>
      <c r="E9" s="32">
        <f>'P&amp;L'!E10*$C$47</f>
        <v/>
      </c>
      <c r="F9" s="32">
        <f>'P&amp;L'!F10*$C$47</f>
        <v/>
      </c>
      <c r="G9" s="32">
        <f>'P&amp;L'!G10*$C$47</f>
        <v/>
      </c>
      <c r="H9" s="32">
        <f>'P&amp;L'!H10*$C$47</f>
        <v/>
      </c>
      <c r="I9" s="32">
        <f>'P&amp;L'!I10*$C$47</f>
        <v/>
      </c>
      <c r="J9" s="32">
        <f>'P&amp;L'!J10*$C$47</f>
        <v/>
      </c>
      <c r="K9" s="32">
        <f>'P&amp;L'!K10*$C$47</f>
        <v/>
      </c>
    </row>
    <row r="10">
      <c r="A10" s="31" t="inlineStr">
        <is>
          <t xml:space="preserve">  Partnership Revenue</t>
        </is>
      </c>
      <c r="B10" s="32">
        <f>'P&amp;L'!B11*$C$48</f>
        <v/>
      </c>
      <c r="C10" s="32">
        <f>'P&amp;L'!C11*$C$48</f>
        <v/>
      </c>
      <c r="D10" s="32">
        <f>'P&amp;L'!D11*$C$48</f>
        <v/>
      </c>
      <c r="E10" s="32">
        <f>'P&amp;L'!E11*$C$48</f>
        <v/>
      </c>
      <c r="F10" s="32">
        <f>'P&amp;L'!F11*$C$48</f>
        <v/>
      </c>
      <c r="G10" s="32">
        <f>'P&amp;L'!G11*$C$48</f>
        <v/>
      </c>
      <c r="H10" s="32">
        <f>'P&amp;L'!H11*$C$48</f>
        <v/>
      </c>
      <c r="I10" s="32">
        <f>'P&amp;L'!I11*$C$48</f>
        <v/>
      </c>
      <c r="J10" s="32">
        <f>'P&amp;L'!J11*$C$48</f>
        <v/>
      </c>
      <c r="K10" s="32">
        <f>'P&amp;L'!K11*$C$48</f>
        <v/>
      </c>
    </row>
    <row r="11">
      <c r="A11" s="31" t="inlineStr">
        <is>
          <t xml:space="preserve">  Other Revenue (ASA+F&amp;B+Other)</t>
        </is>
      </c>
      <c r="B11" s="32">
        <f>'P&amp;L'!B12+'P&amp;L'!B13+'P&amp;L'!B14+'P&amp;L'!B15</f>
        <v/>
      </c>
      <c r="C11" s="32">
        <f>'P&amp;L'!C12+'P&amp;L'!C13+'P&amp;L'!C14+'P&amp;L'!C15</f>
        <v/>
      </c>
      <c r="D11" s="32">
        <f>'P&amp;L'!D12+'P&amp;L'!D13+'P&amp;L'!D14+'P&amp;L'!D15</f>
        <v/>
      </c>
      <c r="E11" s="32">
        <f>'P&amp;L'!E12+'P&amp;L'!E13+'P&amp;L'!E14+'P&amp;L'!E15</f>
        <v/>
      </c>
      <c r="F11" s="32">
        <f>'P&amp;L'!F12+'P&amp;L'!F13+'P&amp;L'!F14+'P&amp;L'!F15</f>
        <v/>
      </c>
      <c r="G11" s="32">
        <f>'P&amp;L'!G12+'P&amp;L'!G13+'P&amp;L'!G14+'P&amp;L'!G15</f>
        <v/>
      </c>
      <c r="H11" s="32">
        <f>'P&amp;L'!H12+'P&amp;L'!H13+'P&amp;L'!H14+'P&amp;L'!H15</f>
        <v/>
      </c>
      <c r="I11" s="32">
        <f>'P&amp;L'!I12+'P&amp;L'!I13+'P&amp;L'!I14+'P&amp;L'!I15</f>
        <v/>
      </c>
      <c r="J11" s="32">
        <f>'P&amp;L'!J12+'P&amp;L'!J13+'P&amp;L'!J14+'P&amp;L'!J15</f>
        <v/>
      </c>
      <c r="K11" s="32">
        <f>'P&amp;L'!K12+'P&amp;L'!K13+'P&amp;L'!K14+'P&amp;L'!K15</f>
        <v/>
      </c>
    </row>
    <row r="12">
      <c r="A12" s="33" t="inlineStr">
        <is>
          <t>Total Revenue</t>
        </is>
      </c>
      <c r="B12" s="34">
        <f>(B9+B10+B11)*(1+IF(2027&gt;=Revenue!$B$13,Revenue!$B$11,0))</f>
        <v/>
      </c>
      <c r="C12" s="34">
        <f>(C9+C10+C11)*(1+IF(2028&gt;=Revenue!$B$13,Revenue!$B$11,0))</f>
        <v/>
      </c>
      <c r="D12" s="34">
        <f>(D9+D10+D11)*(1+IF(2029&gt;=Revenue!$B$13,Revenue!$B$11,0))</f>
        <v/>
      </c>
      <c r="E12" s="34">
        <f>(E9+E10+E11)*(1+IF(2030&gt;=Revenue!$B$13,Revenue!$B$11,0))</f>
        <v/>
      </c>
      <c r="F12" s="34">
        <f>(F9+F10+F11)*(1+IF(2031&gt;=Revenue!$B$13,Revenue!$B$11,0))</f>
        <v/>
      </c>
      <c r="G12" s="34">
        <f>(G9+G10+G11)*(1+IF(2032&gt;=Revenue!$B$13,Revenue!$B$11,0))</f>
        <v/>
      </c>
      <c r="H12" s="34">
        <f>(H9+H10+H11)*(1+IF(2033&gt;=Revenue!$B$13,Revenue!$B$11,0))</f>
        <v/>
      </c>
      <c r="I12" s="34">
        <f>(I9+I10+I11)*(1+IF(2034&gt;=Revenue!$B$13,Revenue!$B$11,0))</f>
        <v/>
      </c>
      <c r="J12" s="34">
        <f>(J9+J10+J11)*(1+IF(2035&gt;=Revenue!$B$13,Revenue!$B$11,0))</f>
        <v/>
      </c>
      <c r="K12" s="34">
        <f>(K9+K10+K11)*(1+IF(2036&gt;=Revenue!$B$13,Revenue!$B$11,0))</f>
        <v/>
      </c>
    </row>
    <row r="13">
      <c r="A13" s="31" t="inlineStr">
        <is>
          <t xml:space="preserve">  Total Costs</t>
        </is>
      </c>
      <c r="B13" s="35">
        <f>'P&amp;L'!B24*$C$49</f>
        <v/>
      </c>
      <c r="C13" s="35">
        <f>'P&amp;L'!C24*$C$49</f>
        <v/>
      </c>
      <c r="D13" s="35">
        <f>'P&amp;L'!D24*$C$49</f>
        <v/>
      </c>
      <c r="E13" s="35">
        <f>'P&amp;L'!E24*$C$49</f>
        <v/>
      </c>
      <c r="F13" s="35">
        <f>'P&amp;L'!F24*$C$49</f>
        <v/>
      </c>
      <c r="G13" s="35">
        <f>'P&amp;L'!G24*$C$49</f>
        <v/>
      </c>
      <c r="H13" s="35">
        <f>'P&amp;L'!H24*$C$49</f>
        <v/>
      </c>
      <c r="I13" s="35">
        <f>'P&amp;L'!I24*$C$49</f>
        <v/>
      </c>
      <c r="J13" s="35">
        <f>'P&amp;L'!J24*$C$49</f>
        <v/>
      </c>
      <c r="K13" s="35">
        <f>'P&amp;L'!K24*$C$49</f>
        <v/>
      </c>
    </row>
    <row r="14">
      <c r="A14" s="33" t="inlineStr">
        <is>
          <t>EBIT</t>
        </is>
      </c>
      <c r="B14" s="34">
        <f>B12+B13</f>
        <v/>
      </c>
      <c r="C14" s="34">
        <f>C12+C13</f>
        <v/>
      </c>
      <c r="D14" s="34">
        <f>D12+D13</f>
        <v/>
      </c>
      <c r="E14" s="34">
        <f>E12+E13</f>
        <v/>
      </c>
      <c r="F14" s="34">
        <f>F12+F13</f>
        <v/>
      </c>
      <c r="G14" s="34">
        <f>G12+G13</f>
        <v/>
      </c>
      <c r="H14" s="34">
        <f>H12+H13</f>
        <v/>
      </c>
      <c r="I14" s="34">
        <f>I12+I13</f>
        <v/>
      </c>
      <c r="J14" s="34">
        <f>J12+J13</f>
        <v/>
      </c>
      <c r="K14" s="34">
        <f>K12+K13</f>
        <v/>
      </c>
    </row>
    <row r="15">
      <c r="A15" s="31" t="inlineStr">
        <is>
          <t xml:space="preserve">  Tax</t>
        </is>
      </c>
      <c r="B15" s="35">
        <f>IF(B14&gt;0,-B14*'P&amp;L'!$B$5,0)</f>
        <v/>
      </c>
      <c r="C15" s="35">
        <f>IF(C14&gt;0,-C14*'P&amp;L'!$B$5,0)</f>
        <v/>
      </c>
      <c r="D15" s="35">
        <f>IF(D14&gt;0,-D14*'P&amp;L'!$B$5,0)</f>
        <v/>
      </c>
      <c r="E15" s="35">
        <f>IF(E14&gt;0,-E14*'P&amp;L'!$B$5,0)</f>
        <v/>
      </c>
      <c r="F15" s="35">
        <f>IF(F14&gt;0,-F14*'P&amp;L'!$B$5,0)</f>
        <v/>
      </c>
      <c r="G15" s="35">
        <f>IF(G14&gt;0,-G14*'P&amp;L'!$B$5,0)</f>
        <v/>
      </c>
      <c r="H15" s="35">
        <f>IF(H14&gt;0,-H14*'P&amp;L'!$B$5,0)</f>
        <v/>
      </c>
      <c r="I15" s="35">
        <f>IF(I14&gt;0,-I14*'P&amp;L'!$B$5,0)</f>
        <v/>
      </c>
      <c r="J15" s="35">
        <f>IF(J14&gt;0,-J14*'P&amp;L'!$B$5,0)</f>
        <v/>
      </c>
      <c r="K15" s="35">
        <f>IF(K14&gt;0,-K14*'P&amp;L'!$B$5,0)</f>
        <v/>
      </c>
    </row>
    <row r="16">
      <c r="A16" s="33" t="inlineStr">
        <is>
          <t>Profit After Tax</t>
        </is>
      </c>
      <c r="B16" s="34">
        <f>B14+B15</f>
        <v/>
      </c>
      <c r="C16" s="34">
        <f>C14+C15</f>
        <v/>
      </c>
      <c r="D16" s="34">
        <f>D14+D15</f>
        <v/>
      </c>
      <c r="E16" s="34">
        <f>E14+E15</f>
        <v/>
      </c>
      <c r="F16" s="34">
        <f>F14+F15</f>
        <v/>
      </c>
      <c r="G16" s="34">
        <f>G14+G15</f>
        <v/>
      </c>
      <c r="H16" s="34">
        <f>H14+H15</f>
        <v/>
      </c>
      <c r="I16" s="34">
        <f>I14+I15</f>
        <v/>
      </c>
      <c r="J16" s="34">
        <f>J14+J15</f>
        <v/>
      </c>
      <c r="K16" s="34">
        <f>K14+K15</f>
        <v/>
      </c>
    </row>
    <row r="17">
      <c r="A17" s="33" t="inlineStr">
        <is>
          <t>Cumulative Cash</t>
        </is>
      </c>
      <c r="B17" s="34">
        <f>'P&amp;L'!$B$6+B16</f>
        <v/>
      </c>
      <c r="C17" s="34">
        <f>B17+C16</f>
        <v/>
      </c>
      <c r="D17" s="34">
        <f>C17+D16</f>
        <v/>
      </c>
      <c r="E17" s="34">
        <f>D17+E16</f>
        <v/>
      </c>
      <c r="F17" s="34">
        <f>E17+F16</f>
        <v/>
      </c>
      <c r="G17" s="34">
        <f>F17+G16</f>
        <v/>
      </c>
      <c r="H17" s="34">
        <f>G17+H16</f>
        <v/>
      </c>
      <c r="I17" s="34">
        <f>H17+I16</f>
        <v/>
      </c>
      <c r="J17" s="34">
        <f>I17+J16</f>
        <v/>
      </c>
      <c r="K17" s="34">
        <f>J17+K16</f>
        <v/>
      </c>
    </row>
    <row r="18" ht="10" customHeight="1" s="19"/>
    <row r="19" ht="22" customHeight="1" s="19">
      <c r="A19" s="36" t="inlineStr">
        <is>
          <t>DOWNSIDE SCENARIO</t>
        </is>
      </c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>
      <c r="A20" s="38" t="n"/>
      <c r="B20" s="39" t="n">
        <v>2027</v>
      </c>
      <c r="C20" s="39" t="n">
        <v>2028</v>
      </c>
      <c r="D20" s="39" t="n">
        <v>2029</v>
      </c>
      <c r="E20" s="39" t="n">
        <v>2030</v>
      </c>
      <c r="F20" s="39" t="n">
        <v>2031</v>
      </c>
      <c r="G20" s="39" t="n">
        <v>2032</v>
      </c>
      <c r="H20" s="39" t="n">
        <v>2033</v>
      </c>
      <c r="I20" s="39" t="n">
        <v>2034</v>
      </c>
      <c r="J20" s="39" t="n">
        <v>2035</v>
      </c>
      <c r="K20" s="39" t="n">
        <v>2036</v>
      </c>
    </row>
    <row r="21">
      <c r="A21" s="31" t="inlineStr">
        <is>
          <t xml:space="preserve">  Net Ticket Revenue (adj.)</t>
        </is>
      </c>
      <c r="B21" s="35">
        <f>'P&amp;L'!B10*$B$47</f>
        <v/>
      </c>
      <c r="C21" s="35">
        <f>'P&amp;L'!C10*$B$47</f>
        <v/>
      </c>
      <c r="D21" s="35">
        <f>'P&amp;L'!D10*$B$47</f>
        <v/>
      </c>
      <c r="E21" s="35">
        <f>'P&amp;L'!E10*$B$47</f>
        <v/>
      </c>
      <c r="F21" s="35">
        <f>'P&amp;L'!F10*$B$47</f>
        <v/>
      </c>
      <c r="G21" s="35">
        <f>'P&amp;L'!G10*$B$47</f>
        <v/>
      </c>
      <c r="H21" s="35">
        <f>'P&amp;L'!H10*$B$47</f>
        <v/>
      </c>
      <c r="I21" s="35">
        <f>'P&amp;L'!I10*$B$47</f>
        <v/>
      </c>
      <c r="J21" s="35">
        <f>'P&amp;L'!J10*$B$47</f>
        <v/>
      </c>
      <c r="K21" s="35">
        <f>'P&amp;L'!K10*$B$47</f>
        <v/>
      </c>
    </row>
    <row r="22">
      <c r="A22" s="31" t="inlineStr">
        <is>
          <t xml:space="preserve">  Partnership Revenue (adj.)</t>
        </is>
      </c>
      <c r="B22" s="35">
        <f>'P&amp;L'!B11*$B$48</f>
        <v/>
      </c>
      <c r="C22" s="35">
        <f>'P&amp;L'!C11*$B$48</f>
        <v/>
      </c>
      <c r="D22" s="35">
        <f>'P&amp;L'!D11*$B$48</f>
        <v/>
      </c>
      <c r="E22" s="35">
        <f>'P&amp;L'!E11*$B$48</f>
        <v/>
      </c>
      <c r="F22" s="35">
        <f>'P&amp;L'!F11*$B$48</f>
        <v/>
      </c>
      <c r="G22" s="35">
        <f>'P&amp;L'!G11*$B$48</f>
        <v/>
      </c>
      <c r="H22" s="35">
        <f>'P&amp;L'!H11*$B$48</f>
        <v/>
      </c>
      <c r="I22" s="35">
        <f>'P&amp;L'!I11*$B$48</f>
        <v/>
      </c>
      <c r="J22" s="35">
        <f>'P&amp;L'!J11*$B$48</f>
        <v/>
      </c>
      <c r="K22" s="35">
        <f>'P&amp;L'!K11*$B$48</f>
        <v/>
      </c>
    </row>
    <row r="23">
      <c r="A23" s="31" t="inlineStr">
        <is>
          <t xml:space="preserve">  Other Revenue (ASA+F&amp;B+Other)</t>
        </is>
      </c>
      <c r="B23" s="35">
        <f>'P&amp;L'!B12+'P&amp;L'!B13+'P&amp;L'!B14+'P&amp;L'!B15</f>
        <v/>
      </c>
      <c r="C23" s="35">
        <f>'P&amp;L'!C12+'P&amp;L'!C13+'P&amp;L'!C14+'P&amp;L'!C15</f>
        <v/>
      </c>
      <c r="D23" s="35">
        <f>'P&amp;L'!D12+'P&amp;L'!D13+'P&amp;L'!D14+'P&amp;L'!D15</f>
        <v/>
      </c>
      <c r="E23" s="35">
        <f>'P&amp;L'!E12+'P&amp;L'!E13+'P&amp;L'!E14+'P&amp;L'!E15</f>
        <v/>
      </c>
      <c r="F23" s="35">
        <f>'P&amp;L'!F12+'P&amp;L'!F13+'P&amp;L'!F14+'P&amp;L'!F15</f>
        <v/>
      </c>
      <c r="G23" s="35">
        <f>'P&amp;L'!G12+'P&amp;L'!G13+'P&amp;L'!G14+'P&amp;L'!G15</f>
        <v/>
      </c>
      <c r="H23" s="35">
        <f>'P&amp;L'!H12+'P&amp;L'!H13+'P&amp;L'!H14+'P&amp;L'!H15</f>
        <v/>
      </c>
      <c r="I23" s="35">
        <f>'P&amp;L'!I12+'P&amp;L'!I13+'P&amp;L'!I14+'P&amp;L'!I15</f>
        <v/>
      </c>
      <c r="J23" s="35">
        <f>'P&amp;L'!J12+'P&amp;L'!J13+'P&amp;L'!J14+'P&amp;L'!J15</f>
        <v/>
      </c>
      <c r="K23" s="35">
        <f>'P&amp;L'!K12+'P&amp;L'!K13+'P&amp;L'!K14+'P&amp;L'!K15</f>
        <v/>
      </c>
    </row>
    <row r="24">
      <c r="A24" s="33" t="inlineStr">
        <is>
          <t>Total Revenue</t>
        </is>
      </c>
      <c r="B24" s="34">
        <f>(B21+B22+B23)*(1+IF(2027&gt;=Revenue!$B$13,Revenue!$B$11,0))</f>
        <v/>
      </c>
      <c r="C24" s="34">
        <f>(C21+C22+C23)*(1+IF(2028&gt;=Revenue!$B$13,Revenue!$B$11,0))</f>
        <v/>
      </c>
      <c r="D24" s="34">
        <f>(D21+D22+D23)*(1+IF(2029&gt;=Revenue!$B$13,Revenue!$B$11,0))</f>
        <v/>
      </c>
      <c r="E24" s="34">
        <f>(E21+E22+E23)*(1+IF(2030&gt;=Revenue!$B$13,Revenue!$B$11,0))</f>
        <v/>
      </c>
      <c r="F24" s="34">
        <f>(F21+F22+F23)*(1+IF(2031&gt;=Revenue!$B$13,Revenue!$B$11,0))</f>
        <v/>
      </c>
      <c r="G24" s="34">
        <f>(G21+G22+G23)*(1+IF(2032&gt;=Revenue!$B$13,Revenue!$B$11,0))</f>
        <v/>
      </c>
      <c r="H24" s="34">
        <f>(H21+H22+H23)*(1+IF(2033&gt;=Revenue!$B$13,Revenue!$B$11,0))</f>
        <v/>
      </c>
      <c r="I24" s="34">
        <f>(I21+I22+I23)*(1+IF(2034&gt;=Revenue!$B$13,Revenue!$B$11,0))</f>
        <v/>
      </c>
      <c r="J24" s="34">
        <f>(J21+J22+J23)*(1+IF(2035&gt;=Revenue!$B$13,Revenue!$B$11,0))</f>
        <v/>
      </c>
      <c r="K24" s="34">
        <f>(K21+K22+K23)*(1+IF(2036&gt;=Revenue!$B$13,Revenue!$B$11,0))</f>
        <v/>
      </c>
    </row>
    <row r="25">
      <c r="A25" s="31" t="inlineStr">
        <is>
          <t xml:space="preserve">  Total Costs (adj.)</t>
        </is>
      </c>
      <c r="B25" s="35">
        <f>'P&amp;L'!B24*$B$49</f>
        <v/>
      </c>
      <c r="C25" s="35">
        <f>'P&amp;L'!C24*$B$49</f>
        <v/>
      </c>
      <c r="D25" s="35">
        <f>'P&amp;L'!D24*$B$49</f>
        <v/>
      </c>
      <c r="E25" s="35">
        <f>'P&amp;L'!E24*$B$49</f>
        <v/>
      </c>
      <c r="F25" s="35">
        <f>'P&amp;L'!F24*$B$49</f>
        <v/>
      </c>
      <c r="G25" s="35">
        <f>'P&amp;L'!G24*$B$49</f>
        <v/>
      </c>
      <c r="H25" s="35">
        <f>'P&amp;L'!H24*$B$49</f>
        <v/>
      </c>
      <c r="I25" s="35">
        <f>'P&amp;L'!I24*$B$49</f>
        <v/>
      </c>
      <c r="J25" s="35">
        <f>'P&amp;L'!J24*$B$49</f>
        <v/>
      </c>
      <c r="K25" s="35">
        <f>'P&amp;L'!K24*$B$49</f>
        <v/>
      </c>
    </row>
    <row r="26">
      <c r="A26" s="33" t="inlineStr">
        <is>
          <t>EBIT</t>
        </is>
      </c>
      <c r="B26" s="34">
        <f>B24+B25</f>
        <v/>
      </c>
      <c r="C26" s="34">
        <f>C24+C25</f>
        <v/>
      </c>
      <c r="D26" s="34">
        <f>D24+D25</f>
        <v/>
      </c>
      <c r="E26" s="34">
        <f>E24+E25</f>
        <v/>
      </c>
      <c r="F26" s="34">
        <f>F24+F25</f>
        <v/>
      </c>
      <c r="G26" s="34">
        <f>G24+G25</f>
        <v/>
      </c>
      <c r="H26" s="34">
        <f>H24+H25</f>
        <v/>
      </c>
      <c r="I26" s="34">
        <f>I24+I25</f>
        <v/>
      </c>
      <c r="J26" s="34">
        <f>J24+J25</f>
        <v/>
      </c>
      <c r="K26" s="34">
        <f>K24+K25</f>
        <v/>
      </c>
    </row>
    <row r="27">
      <c r="A27" s="31" t="inlineStr">
        <is>
          <t xml:space="preserve">  Tax</t>
        </is>
      </c>
      <c r="B27" s="35">
        <f>IF(B26&gt;0,-B26*'P&amp;L'!$B$5,0)</f>
        <v/>
      </c>
      <c r="C27" s="35">
        <f>IF(C26&gt;0,-C26*'P&amp;L'!$B$5,0)</f>
        <v/>
      </c>
      <c r="D27" s="35">
        <f>IF(D26&gt;0,-D26*'P&amp;L'!$B$5,0)</f>
        <v/>
      </c>
      <c r="E27" s="35">
        <f>IF(E26&gt;0,-E26*'P&amp;L'!$B$5,0)</f>
        <v/>
      </c>
      <c r="F27" s="35">
        <f>IF(F26&gt;0,-F26*'P&amp;L'!$B$5,0)</f>
        <v/>
      </c>
      <c r="G27" s="35">
        <f>IF(G26&gt;0,-G26*'P&amp;L'!$B$5,0)</f>
        <v/>
      </c>
      <c r="H27" s="35">
        <f>IF(H26&gt;0,-H26*'P&amp;L'!$B$5,0)</f>
        <v/>
      </c>
      <c r="I27" s="35">
        <f>IF(I26&gt;0,-I26*'P&amp;L'!$B$5,0)</f>
        <v/>
      </c>
      <c r="J27" s="35">
        <f>IF(J26&gt;0,-J26*'P&amp;L'!$B$5,0)</f>
        <v/>
      </c>
      <c r="K27" s="35">
        <f>IF(K26&gt;0,-K26*'P&amp;L'!$B$5,0)</f>
        <v/>
      </c>
    </row>
    <row r="28">
      <c r="A28" s="33" t="inlineStr">
        <is>
          <t>Profit After Tax</t>
        </is>
      </c>
      <c r="B28" s="34">
        <f>B26+B27</f>
        <v/>
      </c>
      <c r="C28" s="34">
        <f>C26+C27</f>
        <v/>
      </c>
      <c r="D28" s="34">
        <f>D26+D27</f>
        <v/>
      </c>
      <c r="E28" s="34">
        <f>E26+E27</f>
        <v/>
      </c>
      <c r="F28" s="34">
        <f>F26+F27</f>
        <v/>
      </c>
      <c r="G28" s="34">
        <f>G26+G27</f>
        <v/>
      </c>
      <c r="H28" s="34">
        <f>H26+H27</f>
        <v/>
      </c>
      <c r="I28" s="34">
        <f>I26+I27</f>
        <v/>
      </c>
      <c r="J28" s="34">
        <f>J26+J27</f>
        <v/>
      </c>
      <c r="K28" s="34">
        <f>K26+K27</f>
        <v/>
      </c>
    </row>
    <row r="29">
      <c r="A29" s="33" t="inlineStr">
        <is>
          <t>Cumulative Cash</t>
        </is>
      </c>
      <c r="B29" s="34">
        <f>'P&amp;L'!$B$6+B28</f>
        <v/>
      </c>
      <c r="C29" s="34">
        <f>B29+C28</f>
        <v/>
      </c>
      <c r="D29" s="34">
        <f>C29+D28</f>
        <v/>
      </c>
      <c r="E29" s="34">
        <f>D29+E28</f>
        <v/>
      </c>
      <c r="F29" s="34">
        <f>E29+F28</f>
        <v/>
      </c>
      <c r="G29" s="34">
        <f>F29+G28</f>
        <v/>
      </c>
      <c r="H29" s="34">
        <f>G29+H28</f>
        <v/>
      </c>
      <c r="I29" s="34">
        <f>H29+I28</f>
        <v/>
      </c>
      <c r="J29" s="34">
        <f>I29+J28</f>
        <v/>
      </c>
      <c r="K29" s="34">
        <f>J29+K28</f>
        <v/>
      </c>
    </row>
    <row r="30" ht="10" customHeight="1" s="19"/>
    <row r="31" ht="22" customHeight="1" s="19">
      <c r="A31" s="40" t="inlineStr">
        <is>
          <t>UPSIDE SCENARIO</t>
        </is>
      </c>
      <c r="B31" s="41" t="n"/>
      <c r="C31" s="41" t="n"/>
      <c r="D31" s="41" t="n"/>
      <c r="E31" s="41" t="n"/>
      <c r="F31" s="41" t="n"/>
      <c r="G31" s="41" t="n"/>
      <c r="H31" s="41" t="n"/>
      <c r="I31" s="41" t="n"/>
      <c r="J31" s="41" t="n"/>
      <c r="K31" s="41" t="n"/>
    </row>
    <row r="32">
      <c r="A32" s="42" t="n"/>
      <c r="B32" s="43" t="n">
        <v>2027</v>
      </c>
      <c r="C32" s="43" t="n">
        <v>2028</v>
      </c>
      <c r="D32" s="43" t="n">
        <v>2029</v>
      </c>
      <c r="E32" s="43" t="n">
        <v>2030</v>
      </c>
      <c r="F32" s="43" t="n">
        <v>2031</v>
      </c>
      <c r="G32" s="43" t="n">
        <v>2032</v>
      </c>
      <c r="H32" s="43" t="n">
        <v>2033</v>
      </c>
      <c r="I32" s="43" t="n">
        <v>2034</v>
      </c>
      <c r="J32" s="43" t="n">
        <v>2035</v>
      </c>
      <c r="K32" s="43" t="n">
        <v>2036</v>
      </c>
    </row>
    <row r="33">
      <c r="A33" s="31" t="inlineStr">
        <is>
          <t xml:space="preserve">  Net Ticket Revenue (adj.)</t>
        </is>
      </c>
      <c r="B33" s="35">
        <f>'P&amp;L'!B10*$D$47</f>
        <v/>
      </c>
      <c r="C33" s="35">
        <f>'P&amp;L'!C10*$D$47</f>
        <v/>
      </c>
      <c r="D33" s="35">
        <f>'P&amp;L'!D10*$D$47</f>
        <v/>
      </c>
      <c r="E33" s="35">
        <f>'P&amp;L'!E10*$D$47</f>
        <v/>
      </c>
      <c r="F33" s="35">
        <f>'P&amp;L'!F10*$D$47</f>
        <v/>
      </c>
      <c r="G33" s="35">
        <f>'P&amp;L'!G10*$D$47</f>
        <v/>
      </c>
      <c r="H33" s="35">
        <f>'P&amp;L'!H10*$D$47</f>
        <v/>
      </c>
      <c r="I33" s="35">
        <f>'P&amp;L'!I10*$D$47</f>
        <v/>
      </c>
      <c r="J33" s="35">
        <f>'P&amp;L'!J10*$D$47</f>
        <v/>
      </c>
      <c r="K33" s="35">
        <f>'P&amp;L'!K10*$D$47</f>
        <v/>
      </c>
    </row>
    <row r="34">
      <c r="A34" s="31" t="inlineStr">
        <is>
          <t xml:space="preserve">  Partnership Revenue (adj.)</t>
        </is>
      </c>
      <c r="B34" s="35">
        <f>'P&amp;L'!B11*$D$48</f>
        <v/>
      </c>
      <c r="C34" s="35">
        <f>'P&amp;L'!C11*$D$48</f>
        <v/>
      </c>
      <c r="D34" s="35">
        <f>'P&amp;L'!D11*$D$48</f>
        <v/>
      </c>
      <c r="E34" s="35">
        <f>'P&amp;L'!E11*$D$48</f>
        <v/>
      </c>
      <c r="F34" s="35">
        <f>'P&amp;L'!F11*$D$48</f>
        <v/>
      </c>
      <c r="G34" s="35">
        <f>'P&amp;L'!G11*$D$48</f>
        <v/>
      </c>
      <c r="H34" s="35">
        <f>'P&amp;L'!H11*$D$48</f>
        <v/>
      </c>
      <c r="I34" s="35">
        <f>'P&amp;L'!I11*$D$48</f>
        <v/>
      </c>
      <c r="J34" s="35">
        <f>'P&amp;L'!J11*$D$48</f>
        <v/>
      </c>
      <c r="K34" s="35">
        <f>'P&amp;L'!K11*$D$48</f>
        <v/>
      </c>
    </row>
    <row r="35">
      <c r="A35" s="31" t="inlineStr">
        <is>
          <t xml:space="preserve">  Other Revenue (ASA+F&amp;B+Other)</t>
        </is>
      </c>
      <c r="B35" s="35">
        <f>'P&amp;L'!B12+'P&amp;L'!B13+'P&amp;L'!B14+'P&amp;L'!B15</f>
        <v/>
      </c>
      <c r="C35" s="35">
        <f>'P&amp;L'!C12+'P&amp;L'!C13+'P&amp;L'!C14+'P&amp;L'!C15</f>
        <v/>
      </c>
      <c r="D35" s="35">
        <f>'P&amp;L'!D12+'P&amp;L'!D13+'P&amp;L'!D14+'P&amp;L'!D15</f>
        <v/>
      </c>
      <c r="E35" s="35">
        <f>'P&amp;L'!E12+'P&amp;L'!E13+'P&amp;L'!E14+'P&amp;L'!E15</f>
        <v/>
      </c>
      <c r="F35" s="35">
        <f>'P&amp;L'!F12+'P&amp;L'!F13+'P&amp;L'!F14+'P&amp;L'!F15</f>
        <v/>
      </c>
      <c r="G35" s="35">
        <f>'P&amp;L'!G12+'P&amp;L'!G13+'P&amp;L'!G14+'P&amp;L'!G15</f>
        <v/>
      </c>
      <c r="H35" s="35">
        <f>'P&amp;L'!H12+'P&amp;L'!H13+'P&amp;L'!H14+'P&amp;L'!H15</f>
        <v/>
      </c>
      <c r="I35" s="35">
        <f>'P&amp;L'!I12+'P&amp;L'!I13+'P&amp;L'!I14+'P&amp;L'!I15</f>
        <v/>
      </c>
      <c r="J35" s="35">
        <f>'P&amp;L'!J12+'P&amp;L'!J13+'P&amp;L'!J14+'P&amp;L'!J15</f>
        <v/>
      </c>
      <c r="K35" s="35">
        <f>'P&amp;L'!K12+'P&amp;L'!K13+'P&amp;L'!K14+'P&amp;L'!K15</f>
        <v/>
      </c>
    </row>
    <row r="36">
      <c r="A36" s="33" t="inlineStr">
        <is>
          <t>Total Revenue</t>
        </is>
      </c>
      <c r="B36" s="34">
        <f>(B33+B34+B35)*(1+IF(2027&gt;=Revenue!$B$13,Revenue!$B$11,0))</f>
        <v/>
      </c>
      <c r="C36" s="34">
        <f>(C33+C34+C35)*(1+IF(2028&gt;=Revenue!$B$13,Revenue!$B$11,0))</f>
        <v/>
      </c>
      <c r="D36" s="34">
        <f>(D33+D34+D35)*(1+IF(2029&gt;=Revenue!$B$13,Revenue!$B$11,0))</f>
        <v/>
      </c>
      <c r="E36" s="34">
        <f>(E33+E34+E35)*(1+IF(2030&gt;=Revenue!$B$13,Revenue!$B$11,0))</f>
        <v/>
      </c>
      <c r="F36" s="34">
        <f>(F33+F34+F35)*(1+IF(2031&gt;=Revenue!$B$13,Revenue!$B$11,0))</f>
        <v/>
      </c>
      <c r="G36" s="34">
        <f>(G33+G34+G35)*(1+IF(2032&gt;=Revenue!$B$13,Revenue!$B$11,0))</f>
        <v/>
      </c>
      <c r="H36" s="34">
        <f>(H33+H34+H35)*(1+IF(2033&gt;=Revenue!$B$13,Revenue!$B$11,0))</f>
        <v/>
      </c>
      <c r="I36" s="34">
        <f>(I33+I34+I35)*(1+IF(2034&gt;=Revenue!$B$13,Revenue!$B$11,0))</f>
        <v/>
      </c>
      <c r="J36" s="34">
        <f>(J33+J34+J35)*(1+IF(2035&gt;=Revenue!$B$13,Revenue!$B$11,0))</f>
        <v/>
      </c>
      <c r="K36" s="34">
        <f>(K33+K34+K35)*(1+IF(2036&gt;=Revenue!$B$13,Revenue!$B$11,0))</f>
        <v/>
      </c>
    </row>
    <row r="37">
      <c r="A37" s="31" t="inlineStr">
        <is>
          <t xml:space="preserve">  Total Costs (adj.)</t>
        </is>
      </c>
      <c r="B37" s="35">
        <f>'P&amp;L'!B24*$D$49</f>
        <v/>
      </c>
      <c r="C37" s="35">
        <f>'P&amp;L'!C24*$D$49</f>
        <v/>
      </c>
      <c r="D37" s="35">
        <f>'P&amp;L'!D24*$D$49</f>
        <v/>
      </c>
      <c r="E37" s="35">
        <f>'P&amp;L'!E24*$D$49</f>
        <v/>
      </c>
      <c r="F37" s="35">
        <f>'P&amp;L'!F24*$D$49</f>
        <v/>
      </c>
      <c r="G37" s="35">
        <f>'P&amp;L'!G24*$D$49</f>
        <v/>
      </c>
      <c r="H37" s="35">
        <f>'P&amp;L'!H24*$D$49</f>
        <v/>
      </c>
      <c r="I37" s="35">
        <f>'P&amp;L'!I24*$D$49</f>
        <v/>
      </c>
      <c r="J37" s="35">
        <f>'P&amp;L'!J24*$D$49</f>
        <v/>
      </c>
      <c r="K37" s="35">
        <f>'P&amp;L'!K24*$D$49</f>
        <v/>
      </c>
    </row>
    <row r="38">
      <c r="A38" s="33" t="inlineStr">
        <is>
          <t>EBIT</t>
        </is>
      </c>
      <c r="B38" s="34">
        <f>B36+B37</f>
        <v/>
      </c>
      <c r="C38" s="34">
        <f>C36+C37</f>
        <v/>
      </c>
      <c r="D38" s="34">
        <f>D36+D37</f>
        <v/>
      </c>
      <c r="E38" s="34">
        <f>E36+E37</f>
        <v/>
      </c>
      <c r="F38" s="34">
        <f>F36+F37</f>
        <v/>
      </c>
      <c r="G38" s="34">
        <f>G36+G37</f>
        <v/>
      </c>
      <c r="H38" s="34">
        <f>H36+H37</f>
        <v/>
      </c>
      <c r="I38" s="34">
        <f>I36+I37</f>
        <v/>
      </c>
      <c r="J38" s="34">
        <f>J36+J37</f>
        <v/>
      </c>
      <c r="K38" s="34">
        <f>K36+K37</f>
        <v/>
      </c>
    </row>
    <row r="39">
      <c r="A39" s="31" t="inlineStr">
        <is>
          <t xml:space="preserve">  Tax</t>
        </is>
      </c>
      <c r="B39" s="35">
        <f>IF(B38&gt;0,-B38*'P&amp;L'!$B$5,0)</f>
        <v/>
      </c>
      <c r="C39" s="35">
        <f>IF(C38&gt;0,-C38*'P&amp;L'!$B$5,0)</f>
        <v/>
      </c>
      <c r="D39" s="35">
        <f>IF(D38&gt;0,-D38*'P&amp;L'!$B$5,0)</f>
        <v/>
      </c>
      <c r="E39" s="35">
        <f>IF(E38&gt;0,-E38*'P&amp;L'!$B$5,0)</f>
        <v/>
      </c>
      <c r="F39" s="35">
        <f>IF(F38&gt;0,-F38*'P&amp;L'!$B$5,0)</f>
        <v/>
      </c>
      <c r="G39" s="35">
        <f>IF(G38&gt;0,-G38*'P&amp;L'!$B$5,0)</f>
        <v/>
      </c>
      <c r="H39" s="35">
        <f>IF(H38&gt;0,-H38*'P&amp;L'!$B$5,0)</f>
        <v/>
      </c>
      <c r="I39" s="35">
        <f>IF(I38&gt;0,-I38*'P&amp;L'!$B$5,0)</f>
        <v/>
      </c>
      <c r="J39" s="35">
        <f>IF(J38&gt;0,-J38*'P&amp;L'!$B$5,0)</f>
        <v/>
      </c>
      <c r="K39" s="35">
        <f>IF(K38&gt;0,-K38*'P&amp;L'!$B$5,0)</f>
        <v/>
      </c>
    </row>
    <row r="40">
      <c r="A40" s="33" t="inlineStr">
        <is>
          <t>Profit After Tax</t>
        </is>
      </c>
      <c r="B40" s="34">
        <f>B38+B39</f>
        <v/>
      </c>
      <c r="C40" s="34">
        <f>C38+C39</f>
        <v/>
      </c>
      <c r="D40" s="34">
        <f>D38+D39</f>
        <v/>
      </c>
      <c r="E40" s="34">
        <f>E38+E39</f>
        <v/>
      </c>
      <c r="F40" s="34">
        <f>F38+F39</f>
        <v/>
      </c>
      <c r="G40" s="34">
        <f>G38+G39</f>
        <v/>
      </c>
      <c r="H40" s="34">
        <f>H38+H39</f>
        <v/>
      </c>
      <c r="I40" s="34">
        <f>I38+I39</f>
        <v/>
      </c>
      <c r="J40" s="34">
        <f>J38+J39</f>
        <v/>
      </c>
      <c r="K40" s="34">
        <f>K38+K39</f>
        <v/>
      </c>
    </row>
    <row r="41">
      <c r="A41" s="33" t="inlineStr">
        <is>
          <t>Cumulative Cash</t>
        </is>
      </c>
      <c r="B41" s="34">
        <f>'P&amp;L'!$B$6+B40</f>
        <v/>
      </c>
      <c r="C41" s="34">
        <f>B41+C40</f>
        <v/>
      </c>
      <c r="D41" s="34">
        <f>C41+D40</f>
        <v/>
      </c>
      <c r="E41" s="34">
        <f>D41+E40</f>
        <v/>
      </c>
      <c r="F41" s="34">
        <f>E41+F40</f>
        <v/>
      </c>
      <c r="G41" s="34">
        <f>F41+G40</f>
        <v/>
      </c>
      <c r="H41" s="34">
        <f>G41+H40</f>
        <v/>
      </c>
      <c r="I41" s="34">
        <f>H41+I40</f>
        <v/>
      </c>
      <c r="J41" s="34">
        <f>I41+J40</f>
        <v/>
      </c>
      <c r="K41" s="34">
        <f>J41+K40</f>
        <v/>
      </c>
    </row>
    <row r="42" ht="6" customHeight="1" s="19"/>
    <row r="43" ht="10" customHeight="1" s="19"/>
    <row r="44" ht="22" customHeight="1" s="19">
      <c r="A44" s="28" t="inlineStr">
        <is>
          <t>SCENARIO ADJUSTMENTS</t>
        </is>
      </c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44" t="n"/>
      <c r="B45" s="45" t="inlineStr">
        <is>
          <t>Downside</t>
        </is>
      </c>
      <c r="C45" s="46" t="inlineStr">
        <is>
          <t>Base</t>
        </is>
      </c>
      <c r="D45" s="47" t="inlineStr">
        <is>
          <t>Upside</t>
        </is>
      </c>
    </row>
    <row r="46">
      <c r="A46" s="48" t="inlineStr">
        <is>
          <t>Adjust these values to change scenarios:</t>
        </is>
      </c>
    </row>
    <row r="47">
      <c r="A47" s="49" t="inlineStr">
        <is>
          <t>Ticket Occupancy</t>
        </is>
      </c>
      <c r="B47" s="50" t="n">
        <v>0.8</v>
      </c>
      <c r="C47" s="50" t="n">
        <v>1</v>
      </c>
      <c r="D47" s="50" t="n">
        <v>1</v>
      </c>
      <c r="E47" s="48" t="inlineStr">
        <is>
          <t>% of tickets sold (e.g. 80% = 200 of 250)</t>
        </is>
      </c>
    </row>
    <row r="48">
      <c r="A48" s="49" t="inlineStr">
        <is>
          <t>Partnership Factor</t>
        </is>
      </c>
      <c r="B48" s="50" t="n">
        <v>0.6</v>
      </c>
      <c r="C48" s="50" t="n">
        <v>1</v>
      </c>
      <c r="D48" s="50" t="n">
        <v>1.2</v>
      </c>
      <c r="E48" s="48" t="inlineStr">
        <is>
          <t>Multiplier on partnership revenue</t>
        </is>
      </c>
    </row>
    <row r="49">
      <c r="A49" s="49" t="inlineStr">
        <is>
          <t>Cost Overrun Factor</t>
        </is>
      </c>
      <c r="B49" s="50" t="n">
        <v>1.15</v>
      </c>
      <c r="C49" s="50" t="n">
        <v>1</v>
      </c>
      <c r="D49" s="50" t="n">
        <v>0.95</v>
      </c>
      <c r="E49" s="48" t="inlineStr">
        <is>
          <t>Multiplier on total costs (1.15 = 15% over budget)</t>
        </is>
      </c>
    </row>
    <row r="50"/>
    <row r="51">
      <c r="A51" s="48" t="inlineStr">
        <is>
          <t>Downside = worst case. Base = as entered in Revenue/Cost sheets. Upside = best case. To change prices/growth rates, edit yellow cells in Revenue/Cost sheets.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mergeCells count="21">
    <mergeCell ref="J5:K5"/>
    <mergeCell ref="A51:K51"/>
    <mergeCell ref="A1:K1"/>
    <mergeCell ref="E47:K47"/>
    <mergeCell ref="A7:K7"/>
    <mergeCell ref="A3:B3"/>
    <mergeCell ref="G3:H3"/>
    <mergeCell ref="J4:K4"/>
    <mergeCell ref="E48:K48"/>
    <mergeCell ref="A5:B5"/>
    <mergeCell ref="G5:H5"/>
    <mergeCell ref="D4:E4"/>
    <mergeCell ref="D3:E3"/>
    <mergeCell ref="A4:B4"/>
    <mergeCell ref="G4:H4"/>
    <mergeCell ref="J3:K3"/>
    <mergeCell ref="D5:E5"/>
    <mergeCell ref="A19:K19"/>
    <mergeCell ref="A44:K44"/>
    <mergeCell ref="E49:K49"/>
    <mergeCell ref="A31:K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51" min="1" max="1"/>
    <col width="15" customWidth="1" style="51" min="2" max="11"/>
  </cols>
  <sheetData>
    <row r="1" ht="17.35" customHeight="1" s="19">
      <c r="A1" s="52" t="inlineStr">
        <is>
          <t>REVENUE</t>
        </is>
      </c>
    </row>
    <row r="2"/>
    <row r="3" ht="15" customHeight="1" s="19">
      <c r="A3" s="53" t="inlineStr">
        <is>
          <t>GLOBAL REVENUE VARIABLES</t>
        </is>
      </c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</row>
    <row r="4" ht="15" customHeight="1" s="19">
      <c r="A4" s="54" t="inlineStr">
        <is>
          <t>Total Guest Count</t>
        </is>
      </c>
      <c r="B4" s="55" t="n">
        <v>280</v>
      </c>
    </row>
    <row r="5" ht="15" customHeight="1" s="19">
      <c r="A5" s="54" t="inlineStr">
        <is>
          <t>Total Ticket Count</t>
        </is>
      </c>
      <c r="B5" s="55" t="n">
        <v>250</v>
      </c>
    </row>
    <row r="6" ht="15" customHeight="1" s="19">
      <c r="A6" s="54" t="inlineStr">
        <is>
          <t>Net Factor (VAT + platform fees)</t>
        </is>
      </c>
      <c r="B6" s="56" t="n">
        <v>0.89</v>
      </c>
    </row>
    <row r="7" ht="15" customHeight="1" s="19">
      <c r="A7" s="54" t="inlineStr">
        <is>
          <t>Ticket Price Growth Rate (to 2030)</t>
        </is>
      </c>
      <c r="B7" s="57" t="n">
        <v>0.08</v>
      </c>
    </row>
    <row r="8" ht="15" customHeight="1" s="19">
      <c r="A8" s="54" t="inlineStr">
        <is>
          <t>Ticket Price Growth Rate (2031+)</t>
        </is>
      </c>
      <c r="B8" s="57" t="n">
        <v>0.04</v>
      </c>
    </row>
    <row r="9" ht="15" customHeight="1" s="19">
      <c r="A9" s="54" t="inlineStr">
        <is>
          <t>F&amp;B Growth Rate</t>
        </is>
      </c>
      <c r="B9" s="57" t="n">
        <v>0.03</v>
      </c>
    </row>
    <row r="10" ht="15" customHeight="1" s="19">
      <c r="A10" s="54" t="inlineStr">
        <is>
          <t>Partnership Growth Rate (2032+)</t>
        </is>
      </c>
      <c r="B10" s="57" t="n">
        <v>0.06</v>
      </c>
    </row>
    <row r="11" ht="15" customHeight="1" s="19">
      <c r="A11" s="54" t="inlineStr">
        <is>
          <t>Summer Revenue Multiplier</t>
        </is>
      </c>
      <c r="B11" s="56" t="n">
        <v>0.55</v>
      </c>
    </row>
    <row r="12" ht="15" customHeight="1" s="19">
      <c r="A12" s="54" t="inlineStr">
        <is>
          <t>Summer Cost Multiplier</t>
        </is>
      </c>
      <c r="B12" s="56" t="n">
        <v>0.5</v>
      </c>
    </row>
    <row r="13" ht="15" customHeight="1" s="19">
      <c r="A13" s="54" t="inlineStr">
        <is>
          <t>Summer Start Year</t>
        </is>
      </c>
      <c r="B13" s="58" t="n">
        <v>2027</v>
      </c>
    </row>
    <row r="14"/>
    <row r="15" ht="15" customHeight="1" s="19">
      <c r="A15" s="53" t="inlineStr">
        <is>
          <t>SECTION 1: TICKET REVENUE</t>
        </is>
      </c>
      <c r="B15" s="53" t="n"/>
      <c r="C15" s="53" t="n"/>
      <c r="D15" s="53" t="n"/>
      <c r="E15" s="53" t="n"/>
      <c r="F15" s="53" t="n"/>
      <c r="G15" s="53" t="n"/>
      <c r="H15" s="53" t="n"/>
      <c r="I15" s="53" t="n"/>
      <c r="J15" s="53" t="n"/>
      <c r="K15" s="53" t="n"/>
    </row>
    <row r="16" ht="15" customHeight="1" s="19">
      <c r="A16" s="54" t="inlineStr">
        <is>
          <t>Drop Allocation</t>
        </is>
      </c>
    </row>
    <row r="17" ht="15" customHeight="1" s="19">
      <c r="A17" s="54" t="inlineStr">
        <is>
          <t xml:space="preserve">  Drop 1 Allocation %</t>
        </is>
      </c>
      <c r="B17" s="57" t="n">
        <v>0.28</v>
      </c>
    </row>
    <row r="18" ht="15" customHeight="1" s="19">
      <c r="A18" s="54" t="inlineStr">
        <is>
          <t xml:space="preserve">  Drop 2 Allocation %</t>
        </is>
      </c>
      <c r="B18" s="57" t="n">
        <v>0.44</v>
      </c>
    </row>
    <row r="19" ht="15" customHeight="1" s="19">
      <c r="A19" s="54" t="inlineStr">
        <is>
          <t xml:space="preserve">  Drop 3 Allocation %</t>
        </is>
      </c>
      <c r="B19" s="57" t="n">
        <v>0.28</v>
      </c>
    </row>
    <row r="20"/>
    <row r="21" ht="15" customHeight="1" s="19">
      <c r="A21" s="54" t="inlineStr">
        <is>
          <t>2027 Base Prices (CHF)</t>
        </is>
      </c>
    </row>
    <row r="22" ht="15" customHeight="1" s="19">
      <c r="A22" s="54" t="inlineStr">
        <is>
          <t xml:space="preserve">  Drop 1 Unit Price</t>
        </is>
      </c>
      <c r="B22" s="55" t="n">
        <v>210</v>
      </c>
    </row>
    <row r="23" ht="15" customHeight="1" s="19">
      <c r="A23" s="54" t="inlineStr">
        <is>
          <t xml:space="preserve">  Drop 2 Unit Price</t>
        </is>
      </c>
      <c r="B23" s="55" t="n">
        <v>250</v>
      </c>
    </row>
    <row r="24" ht="15" customHeight="1" s="19">
      <c r="A24" s="54" t="inlineStr">
        <is>
          <t xml:space="preserve">  Drop 3 Unit Price</t>
        </is>
      </c>
      <c r="B24" s="55" t="n">
        <v>290</v>
      </c>
    </row>
    <row r="25"/>
    <row r="26" ht="15" customHeight="1" s="19">
      <c r="A26" s="59" t="inlineStr">
        <is>
          <t>10-YEAR TICKET PROJECTION</t>
        </is>
      </c>
    </row>
    <row r="27" ht="15" customHeight="1" s="19">
      <c r="A27" s="60" t="n"/>
      <c r="B27" s="61" t="n">
        <v>2027</v>
      </c>
      <c r="C27" s="61" t="n">
        <v>2028</v>
      </c>
      <c r="D27" s="61" t="n">
        <v>2029</v>
      </c>
      <c r="E27" s="61" t="n">
        <v>2030</v>
      </c>
      <c r="F27" s="61" t="n">
        <v>2031</v>
      </c>
      <c r="G27" s="61" t="n">
        <v>2032</v>
      </c>
      <c r="H27" s="61" t="n">
        <v>2033</v>
      </c>
      <c r="I27" s="61" t="n">
        <v>2034</v>
      </c>
      <c r="J27" s="61" t="n">
        <v>2035</v>
      </c>
      <c r="K27" s="61" t="n">
        <v>2036</v>
      </c>
    </row>
    <row r="28" ht="15" customHeight="1" s="19">
      <c r="A28" s="54" t="inlineStr">
        <is>
          <t xml:space="preserve">  Drop 1 Quantity</t>
        </is>
      </c>
      <c r="B28" s="62">
        <f>ROUND($B$5*$B$17,0)</f>
        <v/>
      </c>
      <c r="C28" s="62">
        <f>ROUND($B$5*$B$17,0)</f>
        <v/>
      </c>
      <c r="D28" s="62">
        <f>ROUND($B$5*$B$17,0)</f>
        <v/>
      </c>
      <c r="E28" s="62">
        <f>ROUND($B$5*$B$17,0)</f>
        <v/>
      </c>
      <c r="F28" s="62">
        <f>ROUND($B$5*$B$17,0)</f>
        <v/>
      </c>
      <c r="G28" s="62">
        <f>ROUND($B$5*$B$17,0)</f>
        <v/>
      </c>
      <c r="H28" s="62">
        <f>ROUND($B$5*$B$17,0)</f>
        <v/>
      </c>
      <c r="I28" s="62">
        <f>ROUND($B$5*$B$17,0)</f>
        <v/>
      </c>
      <c r="J28" s="62">
        <f>ROUND($B$5*$B$17,0)</f>
        <v/>
      </c>
      <c r="K28" s="62">
        <f>ROUND($B$5*$B$17,0)</f>
        <v/>
      </c>
    </row>
    <row r="29" ht="15" customHeight="1" s="19">
      <c r="A29" s="54" t="inlineStr">
        <is>
          <t xml:space="preserve">  Drop 2 Quantity</t>
        </is>
      </c>
      <c r="B29" s="62">
        <f>ROUND($B$5*$B$18,0)</f>
        <v/>
      </c>
      <c r="C29" s="62">
        <f>ROUND($B$5*$B$18,0)</f>
        <v/>
      </c>
      <c r="D29" s="62">
        <f>ROUND($B$5*$B$18,0)</f>
        <v/>
      </c>
      <c r="E29" s="62">
        <f>ROUND($B$5*$B$18,0)</f>
        <v/>
      </c>
      <c r="F29" s="62">
        <f>ROUND($B$5*$B$18,0)</f>
        <v/>
      </c>
      <c r="G29" s="62">
        <f>ROUND($B$5*$B$18,0)</f>
        <v/>
      </c>
      <c r="H29" s="62">
        <f>ROUND($B$5*$B$18,0)</f>
        <v/>
      </c>
      <c r="I29" s="62">
        <f>ROUND($B$5*$B$18,0)</f>
        <v/>
      </c>
      <c r="J29" s="62">
        <f>ROUND($B$5*$B$18,0)</f>
        <v/>
      </c>
      <c r="K29" s="62">
        <f>ROUND($B$5*$B$18,0)</f>
        <v/>
      </c>
    </row>
    <row r="30" ht="15" customHeight="1" s="19">
      <c r="A30" s="54" t="inlineStr">
        <is>
          <t xml:space="preserve">  Drop 3 Quantity</t>
        </is>
      </c>
      <c r="B30" s="62">
        <f>ROUND($B$5*$B$19,0)</f>
        <v/>
      </c>
      <c r="C30" s="62">
        <f>ROUND($B$5*$B$19,0)</f>
        <v/>
      </c>
      <c r="D30" s="62">
        <f>ROUND($B$5*$B$19,0)</f>
        <v/>
      </c>
      <c r="E30" s="62">
        <f>ROUND($B$5*$B$19,0)</f>
        <v/>
      </c>
      <c r="F30" s="62">
        <f>ROUND($B$5*$B$19,0)</f>
        <v/>
      </c>
      <c r="G30" s="62">
        <f>ROUND($B$5*$B$19,0)</f>
        <v/>
      </c>
      <c r="H30" s="62">
        <f>ROUND($B$5*$B$19,0)</f>
        <v/>
      </c>
      <c r="I30" s="62">
        <f>ROUND($B$5*$B$19,0)</f>
        <v/>
      </c>
      <c r="J30" s="62">
        <f>ROUND($B$5*$B$19,0)</f>
        <v/>
      </c>
      <c r="K30" s="62">
        <f>ROUND($B$5*$B$19,0)</f>
        <v/>
      </c>
    </row>
    <row r="31"/>
    <row r="32" ht="15" customHeight="1" s="19">
      <c r="A32" s="54" t="inlineStr">
        <is>
          <t xml:space="preserve">  Drop 1 Price (CHF)</t>
        </is>
      </c>
      <c r="B32" s="62">
        <f>$B$22</f>
        <v/>
      </c>
      <c r="C32" s="62">
        <f>IF(2028&lt;=2030,B32*(1+$B$7),B32*(1+$B$8))</f>
        <v/>
      </c>
      <c r="D32" s="62">
        <f>IF(2029&lt;=2030,C32*(1+$B$7),C32*(1+$B$8))</f>
        <v/>
      </c>
      <c r="E32" s="62">
        <f>IF(2030&lt;=2030,D32*(1+$B$7),D32*(1+$B$8))</f>
        <v/>
      </c>
      <c r="F32" s="62">
        <f>IF(2031&lt;=2030,E32*(1+$B$7),E32*(1+$B$8))</f>
        <v/>
      </c>
      <c r="G32" s="62">
        <f>IF(2032&lt;=2030,F32*(1+$B$7),F32*(1+$B$8))</f>
        <v/>
      </c>
      <c r="H32" s="62">
        <f>IF(2033&lt;=2030,G32*(1+$B$7),G32*(1+$B$8))</f>
        <v/>
      </c>
      <c r="I32" s="62">
        <f>IF(2034&lt;=2030,H32*(1+$B$7),H32*(1+$B$8))</f>
        <v/>
      </c>
      <c r="J32" s="62">
        <f>IF(2035&lt;=2030,I32*(1+$B$7),I32*(1+$B$8))</f>
        <v/>
      </c>
      <c r="K32" s="62">
        <f>IF(2036&lt;=2030,J32*(1+$B$7),J32*(1+$B$8))</f>
        <v/>
      </c>
    </row>
    <row r="33" ht="15" customHeight="1" s="19">
      <c r="A33" s="54" t="inlineStr">
        <is>
          <t xml:space="preserve">  Drop 2 Price (CHF)</t>
        </is>
      </c>
      <c r="B33" s="62">
        <f>$B$23</f>
        <v/>
      </c>
      <c r="C33" s="62">
        <f>IF(2028&lt;=2030,B33*(1+$B$7),B33*(1+$B$8))</f>
        <v/>
      </c>
      <c r="D33" s="62">
        <f>IF(2029&lt;=2030,C33*(1+$B$7),C33*(1+$B$8))</f>
        <v/>
      </c>
      <c r="E33" s="62">
        <f>IF(2030&lt;=2030,D33*(1+$B$7),D33*(1+$B$8))</f>
        <v/>
      </c>
      <c r="F33" s="62">
        <f>IF(2031&lt;=2030,E33*(1+$B$7),E33*(1+$B$8))</f>
        <v/>
      </c>
      <c r="G33" s="62">
        <f>IF(2032&lt;=2030,F33*(1+$B$7),F33*(1+$B$8))</f>
        <v/>
      </c>
      <c r="H33" s="62">
        <f>IF(2033&lt;=2030,G33*(1+$B$7),G33*(1+$B$8))</f>
        <v/>
      </c>
      <c r="I33" s="62">
        <f>IF(2034&lt;=2030,H33*(1+$B$7),H33*(1+$B$8))</f>
        <v/>
      </c>
      <c r="J33" s="62">
        <f>IF(2035&lt;=2030,I33*(1+$B$7),I33*(1+$B$8))</f>
        <v/>
      </c>
      <c r="K33" s="62">
        <f>IF(2036&lt;=2030,J33*(1+$B$7),J33*(1+$B$8))</f>
        <v/>
      </c>
    </row>
    <row r="34" ht="15" customHeight="1" s="19">
      <c r="A34" s="54" t="inlineStr">
        <is>
          <t xml:space="preserve">  Drop 3 Price (CHF)</t>
        </is>
      </c>
      <c r="B34" s="62">
        <f>$B$24</f>
        <v/>
      </c>
      <c r="C34" s="62">
        <f>IF(2028&lt;=2030,B34*(1+$B$7),B34*(1+$B$8))</f>
        <v/>
      </c>
      <c r="D34" s="62">
        <f>IF(2029&lt;=2030,C34*(1+$B$7),C34*(1+$B$8))</f>
        <v/>
      </c>
      <c r="E34" s="62">
        <f>IF(2030&lt;=2030,D34*(1+$B$7),D34*(1+$B$8))</f>
        <v/>
      </c>
      <c r="F34" s="62">
        <f>IF(2031&lt;=2030,E34*(1+$B$7),E34*(1+$B$8))</f>
        <v/>
      </c>
      <c r="G34" s="62">
        <f>IF(2032&lt;=2030,F34*(1+$B$7),F34*(1+$B$8))</f>
        <v/>
      </c>
      <c r="H34" s="62">
        <f>IF(2033&lt;=2030,G34*(1+$B$7),G34*(1+$B$8))</f>
        <v/>
      </c>
      <c r="I34" s="62">
        <f>IF(2034&lt;=2030,H34*(1+$B$7),H34*(1+$B$8))</f>
        <v/>
      </c>
      <c r="J34" s="62">
        <f>IF(2035&lt;=2030,I34*(1+$B$7),I34*(1+$B$8))</f>
        <v/>
      </c>
      <c r="K34" s="62">
        <f>IF(2036&lt;=2030,J34*(1+$B$7),J34*(1+$B$8))</f>
        <v/>
      </c>
    </row>
    <row r="35"/>
    <row r="36" ht="15" customHeight="1" s="19">
      <c r="A36" s="54" t="inlineStr">
        <is>
          <t xml:space="preserve">  Drop 1 Revenue</t>
        </is>
      </c>
      <c r="B36" s="62">
        <f>B28*B32</f>
        <v/>
      </c>
      <c r="C36" s="62">
        <f>C28*C32</f>
        <v/>
      </c>
      <c r="D36" s="62">
        <f>D28*D32</f>
        <v/>
      </c>
      <c r="E36" s="62">
        <f>E28*E32</f>
        <v/>
      </c>
      <c r="F36" s="62">
        <f>F28*F32</f>
        <v/>
      </c>
      <c r="G36" s="62">
        <f>G28*G32</f>
        <v/>
      </c>
      <c r="H36" s="62">
        <f>H28*H32</f>
        <v/>
      </c>
      <c r="I36" s="62">
        <f>I28*I32</f>
        <v/>
      </c>
      <c r="J36" s="62">
        <f>J28*J32</f>
        <v/>
      </c>
      <c r="K36" s="62">
        <f>K28*K32</f>
        <v/>
      </c>
    </row>
    <row r="37" ht="15" customHeight="1" s="19">
      <c r="A37" s="54" t="inlineStr">
        <is>
          <t xml:space="preserve">  Drop 2 Revenue</t>
        </is>
      </c>
      <c r="B37" s="62">
        <f>B29*B33</f>
        <v/>
      </c>
      <c r="C37" s="62">
        <f>C29*C33</f>
        <v/>
      </c>
      <c r="D37" s="62">
        <f>D29*D33</f>
        <v/>
      </c>
      <c r="E37" s="62">
        <f>E29*E33</f>
        <v/>
      </c>
      <c r="F37" s="62">
        <f>F29*F33</f>
        <v/>
      </c>
      <c r="G37" s="62">
        <f>G29*G33</f>
        <v/>
      </c>
      <c r="H37" s="62">
        <f>H29*H33</f>
        <v/>
      </c>
      <c r="I37" s="62">
        <f>I29*I33</f>
        <v/>
      </c>
      <c r="J37" s="62">
        <f>J29*J33</f>
        <v/>
      </c>
      <c r="K37" s="62">
        <f>K29*K33</f>
        <v/>
      </c>
    </row>
    <row r="38" ht="15" customHeight="1" s="19">
      <c r="A38" s="54" t="inlineStr">
        <is>
          <t xml:space="preserve">  Drop 3 Revenue</t>
        </is>
      </c>
      <c r="B38" s="62">
        <f>B30*B34</f>
        <v/>
      </c>
      <c r="C38" s="62">
        <f>C30*C34</f>
        <v/>
      </c>
      <c r="D38" s="62">
        <f>D30*D34</f>
        <v/>
      </c>
      <c r="E38" s="62">
        <f>E30*E34</f>
        <v/>
      </c>
      <c r="F38" s="62">
        <f>F30*F34</f>
        <v/>
      </c>
      <c r="G38" s="62">
        <f>G30*G34</f>
        <v/>
      </c>
      <c r="H38" s="62">
        <f>H30*H34</f>
        <v/>
      </c>
      <c r="I38" s="62">
        <f>I30*I34</f>
        <v/>
      </c>
      <c r="J38" s="62">
        <f>J30*J34</f>
        <v/>
      </c>
      <c r="K38" s="62">
        <f>K30*K34</f>
        <v/>
      </c>
    </row>
    <row r="39" ht="15" customHeight="1" s="19">
      <c r="A39" s="59" t="inlineStr">
        <is>
          <t>Gross Ticket Revenue</t>
        </is>
      </c>
      <c r="B39" s="63">
        <f>B36+B37+B38</f>
        <v/>
      </c>
      <c r="C39" s="63">
        <f>C36+C37+C38</f>
        <v/>
      </c>
      <c r="D39" s="63">
        <f>D36+D37+D38</f>
        <v/>
      </c>
      <c r="E39" s="63">
        <f>E36+E37+E38</f>
        <v/>
      </c>
      <c r="F39" s="63">
        <f>F36+F37+F38</f>
        <v/>
      </c>
      <c r="G39" s="63">
        <f>G36+G37+G38</f>
        <v/>
      </c>
      <c r="H39" s="63">
        <f>H36+H37+H38</f>
        <v/>
      </c>
      <c r="I39" s="63">
        <f>I36+I37+I38</f>
        <v/>
      </c>
      <c r="J39" s="63">
        <f>J36+J37+J38</f>
        <v/>
      </c>
      <c r="K39" s="63">
        <f>K36+K37+K38</f>
        <v/>
      </c>
    </row>
    <row r="40" ht="15" customHeight="1" s="19">
      <c r="A40" s="59" t="inlineStr">
        <is>
          <t>Net Ticket Revenue</t>
        </is>
      </c>
      <c r="B40" s="64">
        <f>B39*$B$6</f>
        <v/>
      </c>
      <c r="C40" s="64">
        <f>C39*$B$6</f>
        <v/>
      </c>
      <c r="D40" s="64">
        <f>D39*$B$6</f>
        <v/>
      </c>
      <c r="E40" s="64">
        <f>E39*$B$6</f>
        <v/>
      </c>
      <c r="F40" s="64">
        <f>F39*$B$6</f>
        <v/>
      </c>
      <c r="G40" s="64">
        <f>G39*$B$6</f>
        <v/>
      </c>
      <c r="H40" s="64">
        <f>H39*$B$6</f>
        <v/>
      </c>
      <c r="I40" s="64">
        <f>I39*$B$6</f>
        <v/>
      </c>
      <c r="J40" s="64">
        <f>J39*$B$6</f>
        <v/>
      </c>
      <c r="K40" s="64">
        <f>K39*$B$6</f>
        <v/>
      </c>
    </row>
    <row r="41"/>
    <row r="42" ht="15" customHeight="1" s="19">
      <c r="A42" s="53" t="inlineStr">
        <is>
          <t>SECTION 2: PARTNERSHIPS</t>
        </is>
      </c>
      <c r="B42" s="53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</row>
    <row r="43" ht="15" customHeight="1" s="19">
      <c r="A43" s="60" t="n"/>
      <c r="B43" s="61" t="n">
        <v>2027</v>
      </c>
      <c r="C43" s="61" t="n">
        <v>2028</v>
      </c>
      <c r="D43" s="61" t="n">
        <v>2029</v>
      </c>
      <c r="E43" s="61" t="n">
        <v>2030</v>
      </c>
      <c r="F43" s="61" t="n">
        <v>2031</v>
      </c>
      <c r="G43" s="61" t="n">
        <v>2032</v>
      </c>
      <c r="H43" s="61" t="n">
        <v>2033</v>
      </c>
      <c r="I43" s="61" t="n">
        <v>2034</v>
      </c>
      <c r="J43" s="61" t="n">
        <v>2035</v>
      </c>
      <c r="K43" s="61" t="n">
        <v>2036</v>
      </c>
    </row>
    <row r="44" ht="15" customHeight="1" s="19">
      <c r="A44" s="54" t="inlineStr">
        <is>
          <t xml:space="preserve">  Presenting Partner — Price</t>
        </is>
      </c>
      <c r="B44" s="55" t="n">
        <v>0</v>
      </c>
      <c r="C44" s="55" t="n">
        <v>50000</v>
      </c>
      <c r="D44" s="55" t="n">
        <v>50000</v>
      </c>
      <c r="E44" s="55" t="n">
        <v>50000</v>
      </c>
      <c r="F44" s="55" t="n">
        <v>50000</v>
      </c>
    </row>
    <row r="45" ht="15" customHeight="1" s="19">
      <c r="A45" s="54" t="inlineStr">
        <is>
          <t xml:space="preserve">  Presenting Partner — Count</t>
        </is>
      </c>
      <c r="B45" s="55" t="n">
        <v>0</v>
      </c>
      <c r="C45" s="55" t="n">
        <v>1</v>
      </c>
      <c r="D45" s="55" t="n">
        <v>1</v>
      </c>
      <c r="E45" s="55" t="n">
        <v>1</v>
      </c>
      <c r="F45" s="55" t="n">
        <v>1</v>
      </c>
    </row>
    <row r="46" ht="15" customHeight="1" s="19">
      <c r="A46" s="54" t="inlineStr">
        <is>
          <t xml:space="preserve">  Presenting Partner — Revenue</t>
        </is>
      </c>
      <c r="B46" s="62">
        <f>B44*B45</f>
        <v/>
      </c>
      <c r="C46" s="62">
        <f>C44*C45</f>
        <v/>
      </c>
      <c r="D46" s="62">
        <f>D44*D45</f>
        <v/>
      </c>
      <c r="E46" s="62">
        <f>E44*E45</f>
        <v/>
      </c>
      <c r="F46" s="62">
        <f>F44*F45</f>
        <v/>
      </c>
    </row>
    <row r="47"/>
    <row r="48" ht="15" customHeight="1" s="19">
      <c r="A48" s="54" t="inlineStr">
        <is>
          <t xml:space="preserve">  Partner — Price</t>
        </is>
      </c>
      <c r="B48" s="55" t="n">
        <v>15000</v>
      </c>
      <c r="C48" s="55" t="n">
        <v>0</v>
      </c>
      <c r="D48" s="55" t="n">
        <v>15000</v>
      </c>
      <c r="E48" s="55" t="n">
        <v>15000</v>
      </c>
      <c r="F48" s="55" t="n">
        <v>15000</v>
      </c>
    </row>
    <row r="49" ht="15" customHeight="1" s="19">
      <c r="A49" s="54" t="inlineStr">
        <is>
          <t xml:space="preserve">  Partner — Count</t>
        </is>
      </c>
      <c r="B49" s="55" t="n">
        <v>2</v>
      </c>
      <c r="C49" s="55" t="n">
        <v>0</v>
      </c>
      <c r="D49" s="55" t="n">
        <v>1</v>
      </c>
      <c r="E49" s="55" t="n">
        <v>2</v>
      </c>
      <c r="F49" s="55" t="n">
        <v>3</v>
      </c>
    </row>
    <row r="50" ht="15" customHeight="1" s="19">
      <c r="A50" s="54" t="inlineStr">
        <is>
          <t xml:space="preserve">  Partner — Revenue</t>
        </is>
      </c>
      <c r="B50" s="62">
        <f>B48*B49</f>
        <v/>
      </c>
      <c r="C50" s="62">
        <f>C48*C49</f>
        <v/>
      </c>
      <c r="D50" s="62">
        <f>D48*D49</f>
        <v/>
      </c>
      <c r="E50" s="62">
        <f>E48*E49</f>
        <v/>
      </c>
      <c r="F50" s="62">
        <f>F48*F49</f>
        <v/>
      </c>
    </row>
    <row r="51"/>
    <row r="52" ht="15" customHeight="1" s="19">
      <c r="A52" s="54" t="inlineStr">
        <is>
          <t xml:space="preserve">  Supporting Partner — Price</t>
        </is>
      </c>
      <c r="B52" s="55" t="n">
        <v>0</v>
      </c>
      <c r="C52" s="55" t="n">
        <v>5000</v>
      </c>
      <c r="D52" s="55" t="n">
        <v>5000</v>
      </c>
      <c r="E52" s="55" t="n">
        <v>5000</v>
      </c>
      <c r="F52" s="55" t="n">
        <v>5000</v>
      </c>
    </row>
    <row r="53" ht="15" customHeight="1" s="19">
      <c r="A53" s="54" t="inlineStr">
        <is>
          <t xml:space="preserve">  Supporting Partner — Count</t>
        </is>
      </c>
      <c r="B53" s="55" t="n">
        <v>0</v>
      </c>
      <c r="C53" s="55" t="n">
        <v>1</v>
      </c>
      <c r="D53" s="55" t="n">
        <v>2</v>
      </c>
      <c r="E53" s="55" t="n">
        <v>3</v>
      </c>
      <c r="F53" s="55" t="n">
        <v>3</v>
      </c>
    </row>
    <row r="54" ht="15" customHeight="1" s="19">
      <c r="A54" s="54" t="inlineStr">
        <is>
          <t xml:space="preserve">  Supporting Partner — Revenue</t>
        </is>
      </c>
      <c r="B54" s="62">
        <f>B52*B53</f>
        <v/>
      </c>
      <c r="C54" s="62">
        <f>C52*C53</f>
        <v/>
      </c>
      <c r="D54" s="62">
        <f>D52*D53</f>
        <v/>
      </c>
      <c r="E54" s="62">
        <f>E52*E53</f>
        <v/>
      </c>
      <c r="F54" s="62">
        <f>F52*F53</f>
        <v/>
      </c>
    </row>
    <row r="55"/>
    <row r="56" ht="15" customHeight="1" s="19">
      <c r="A56" s="59" t="inlineStr">
        <is>
          <t>Partnership Total</t>
        </is>
      </c>
      <c r="B56" s="63">
        <f>B46+B50+B54</f>
        <v/>
      </c>
      <c r="C56" s="63">
        <f>C46+C50+C54</f>
        <v/>
      </c>
      <c r="D56" s="63">
        <f>D46+D50+D54</f>
        <v/>
      </c>
      <c r="E56" s="63">
        <f>E46+E50+E54</f>
        <v/>
      </c>
      <c r="F56" s="63">
        <f>F46+F50+F54</f>
        <v/>
      </c>
      <c r="G56" s="63">
        <f>F56*(1+$B$10)^1</f>
        <v/>
      </c>
      <c r="H56" s="63">
        <f>F56*(1+$B$10)^2</f>
        <v/>
      </c>
      <c r="I56" s="63">
        <f>F56*(1+$B$10)^3</f>
        <v/>
      </c>
      <c r="J56" s="63">
        <f>F56*(1+$B$10)^4</f>
        <v/>
      </c>
      <c r="K56" s="63">
        <f>F56*(1+$B$10)^5</f>
        <v/>
      </c>
    </row>
    <row r="57" ht="15" customHeight="1" s="19">
      <c r="A57" s="65" t="inlineStr">
        <is>
          <t xml:space="preserve">  2027-2031: Tier breakdown (editable). 2032-2036: Auto-calculated from 2031 total at Partnership Growth Rate.</t>
        </is>
      </c>
    </row>
    <row r="58"/>
    <row r="59" ht="15" customHeight="1" s="19">
      <c r="A59" s="53" t="inlineStr">
        <is>
          <t>SECTION 3: ASA CONTRIBUTION</t>
        </is>
      </c>
      <c r="B59" s="53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</row>
    <row r="60" ht="15" customHeight="1" s="19">
      <c r="A60" s="60" t="n"/>
      <c r="B60" s="61" t="n">
        <v>2027</v>
      </c>
      <c r="C60" s="61" t="n">
        <v>2028</v>
      </c>
      <c r="D60" s="61" t="n">
        <v>2029</v>
      </c>
      <c r="E60" s="61" t="n">
        <v>2030</v>
      </c>
      <c r="F60" s="61" t="n">
        <v>2031</v>
      </c>
      <c r="G60" s="61" t="n">
        <v>2032</v>
      </c>
      <c r="H60" s="61" t="n">
        <v>2033</v>
      </c>
      <c r="I60" s="61" t="n">
        <v>2034</v>
      </c>
      <c r="J60" s="61" t="n">
        <v>2035</v>
      </c>
      <c r="K60" s="61" t="n">
        <v>2036</v>
      </c>
    </row>
    <row r="61" ht="15" customHeight="1" s="19">
      <c r="A61" s="59" t="inlineStr">
        <is>
          <t>ASA Contribution (manual input)</t>
        </is>
      </c>
      <c r="B61" s="55" t="n">
        <v>10000</v>
      </c>
      <c r="C61" s="55" t="n">
        <v>12500</v>
      </c>
      <c r="D61" s="55" t="n">
        <v>15000</v>
      </c>
      <c r="E61" s="55" t="n">
        <v>20000</v>
      </c>
      <c r="F61" s="55" t="n">
        <v>25000</v>
      </c>
      <c r="G61" s="55" t="n">
        <v>30000</v>
      </c>
      <c r="H61" s="55" t="n">
        <v>30000</v>
      </c>
      <c r="I61" s="55" t="n">
        <v>35000</v>
      </c>
      <c r="J61" s="55" t="n">
        <v>40000</v>
      </c>
      <c r="K61" s="55" t="n">
        <v>45000</v>
      </c>
    </row>
    <row r="62" ht="15" customHeight="1" s="19">
      <c r="A62" s="65" t="inlineStr">
        <is>
          <t xml:space="preserve">  ASA partnership contribution follows a 3-phase negotiation schedule (Build / Grow / Anchor). Values are irregular and entered manually per year.</t>
        </is>
      </c>
    </row>
    <row r="63"/>
    <row r="64" ht="15" customHeight="1" s="19">
      <c r="A64" s="53" t="inlineStr">
        <is>
          <t>SECTION 4: BAR / F&amp;B REVENUE</t>
        </is>
      </c>
      <c r="B64" s="53" t="n"/>
      <c r="C64" s="53" t="n"/>
      <c r="D64" s="53" t="n"/>
      <c r="E64" s="53" t="n"/>
      <c r="F64" s="53" t="n"/>
      <c r="G64" s="53" t="n"/>
      <c r="H64" s="53" t="n"/>
      <c r="I64" s="53" t="n"/>
      <c r="J64" s="53" t="n"/>
      <c r="K64" s="53" t="n"/>
    </row>
    <row r="65" ht="15" customHeight="1" s="19">
      <c r="A65" s="65" t="inlineStr">
        <is>
          <t xml:space="preserve">  Share rates are currently set to 0%. Aura does not take a share of bar/food revenue. If a share agreement is negotiated, change the share rate.</t>
        </is>
      </c>
    </row>
    <row r="66"/>
    <row r="67" ht="15" customHeight="1" s="19">
      <c r="A67" s="60" t="n"/>
      <c r="B67" s="61" t="n">
        <v>2027</v>
      </c>
      <c r="C67" s="61" t="n">
        <v>2028</v>
      </c>
      <c r="D67" s="61" t="n">
        <v>2029</v>
      </c>
      <c r="E67" s="61" t="n">
        <v>2030</v>
      </c>
      <c r="F67" s="61" t="n">
        <v>2031</v>
      </c>
      <c r="G67" s="61" t="n">
        <v>2032</v>
      </c>
      <c r="H67" s="61" t="n">
        <v>2033</v>
      </c>
      <c r="I67" s="61" t="n">
        <v>2034</v>
      </c>
      <c r="J67" s="61" t="n">
        <v>2035</v>
      </c>
      <c r="K67" s="61" t="n">
        <v>2036</v>
      </c>
    </row>
    <row r="68" ht="15" customHeight="1" s="19">
      <c r="A68" s="54" t="inlineStr">
        <is>
          <t xml:space="preserve">  Friday Coffee/Drinks — Guest Count</t>
        </is>
      </c>
      <c r="B68" s="55" t="n">
        <v>150</v>
      </c>
    </row>
    <row r="69" ht="15" customHeight="1" s="19">
      <c r="A69" s="54" t="inlineStr">
        <is>
          <t xml:space="preserve">  Friday Coffee/Drinks — Per-person Spend</t>
        </is>
      </c>
      <c r="B69" s="55" t="n">
        <v>15</v>
      </c>
    </row>
    <row r="70" ht="15" customHeight="1" s="19">
      <c r="A70" s="54" t="inlineStr">
        <is>
          <t xml:space="preserve">  Friday Coffee/Drinks — Share Rate</t>
        </is>
      </c>
      <c r="B70" s="57" t="n">
        <v>0</v>
      </c>
    </row>
    <row r="71" ht="15" customHeight="1" s="19">
      <c r="A71" s="54" t="inlineStr">
        <is>
          <t xml:space="preserve">  Friday Coffee/Drinks — Est. Total Sales (reference)</t>
        </is>
      </c>
      <c r="B71" s="62">
        <f>B68*B69</f>
        <v/>
      </c>
      <c r="C71" s="62">
        <f>B71*(1+$B$9)</f>
        <v/>
      </c>
      <c r="D71" s="62">
        <f>C71*(1+$B$9)</f>
        <v/>
      </c>
      <c r="E71" s="62">
        <f>D71*(1+$B$9)</f>
        <v/>
      </c>
      <c r="F71" s="62">
        <f>E71*(1+$B$9)</f>
        <v/>
      </c>
      <c r="G71" s="62">
        <f>F71*(1+$B$9)</f>
        <v/>
      </c>
      <c r="H71" s="62">
        <f>G71*(1+$B$9)</f>
        <v/>
      </c>
      <c r="I71" s="62">
        <f>H71*(1+$B$9)</f>
        <v/>
      </c>
      <c r="J71" s="62">
        <f>I71*(1+$B$9)</f>
        <v/>
      </c>
      <c r="K71" s="62">
        <f>J71*(1+$B$9)</f>
        <v/>
      </c>
    </row>
    <row r="72" ht="15" customHeight="1" s="19">
      <c r="A72" s="54" t="inlineStr">
        <is>
          <t xml:space="preserve">  Friday Coffee/Drinks — Aura Revenue</t>
        </is>
      </c>
      <c r="B72" s="62">
        <f>B71*B70</f>
        <v/>
      </c>
      <c r="C72" s="62">
        <f>C71*$B70</f>
        <v/>
      </c>
      <c r="D72" s="62">
        <f>D71*$B70</f>
        <v/>
      </c>
      <c r="E72" s="62">
        <f>E71*$B70</f>
        <v/>
      </c>
      <c r="F72" s="62">
        <f>F71*$B70</f>
        <v/>
      </c>
      <c r="G72" s="62">
        <f>G71*$B70</f>
        <v/>
      </c>
      <c r="H72" s="62">
        <f>H71*$B70</f>
        <v/>
      </c>
      <c r="I72" s="62">
        <f>I71*$B70</f>
        <v/>
      </c>
      <c r="J72" s="62">
        <f>J71*$B70</f>
        <v/>
      </c>
      <c r="K72" s="62">
        <f>K71*$B70</f>
        <v/>
      </c>
    </row>
    <row r="73"/>
    <row r="74" ht="15" customHeight="1" s="19">
      <c r="A74" s="54" t="inlineStr">
        <is>
          <t xml:space="preserve">  Saturday Day+Night — Guest Count</t>
        </is>
      </c>
      <c r="B74" s="55" t="n">
        <v>280</v>
      </c>
    </row>
    <row r="75" ht="15" customHeight="1" s="19">
      <c r="A75" s="54" t="inlineStr">
        <is>
          <t xml:space="preserve">  Saturday Day+Night — Per-person Spend</t>
        </is>
      </c>
      <c r="B75" s="55" t="n">
        <v>65</v>
      </c>
    </row>
    <row r="76" ht="15" customHeight="1" s="19">
      <c r="A76" s="54" t="inlineStr">
        <is>
          <t xml:space="preserve">  Saturday Day+Night — Share Rate</t>
        </is>
      </c>
      <c r="B76" s="57" t="n">
        <v>0</v>
      </c>
    </row>
    <row r="77" ht="15" customHeight="1" s="19">
      <c r="A77" s="54" t="inlineStr">
        <is>
          <t xml:space="preserve">  Saturday Day+Night — Est. Total Sales (reference)</t>
        </is>
      </c>
      <c r="B77" s="62">
        <f>B74*B75</f>
        <v/>
      </c>
      <c r="C77" s="62">
        <f>B77*(1+$B$9)</f>
        <v/>
      </c>
      <c r="D77" s="62">
        <f>C77*(1+$B$9)</f>
        <v/>
      </c>
      <c r="E77" s="62">
        <f>D77*(1+$B$9)</f>
        <v/>
      </c>
      <c r="F77" s="62">
        <f>E77*(1+$B$9)</f>
        <v/>
      </c>
      <c r="G77" s="62">
        <f>F77*(1+$B$9)</f>
        <v/>
      </c>
      <c r="H77" s="62">
        <f>G77*(1+$B$9)</f>
        <v/>
      </c>
      <c r="I77" s="62">
        <f>H77*(1+$B$9)</f>
        <v/>
      </c>
      <c r="J77" s="62">
        <f>I77*(1+$B$9)</f>
        <v/>
      </c>
      <c r="K77" s="62">
        <f>J77*(1+$B$9)</f>
        <v/>
      </c>
    </row>
    <row r="78" ht="15" customHeight="1" s="19">
      <c r="A78" s="54" t="inlineStr">
        <is>
          <t xml:space="preserve">  Saturday Day+Night — Aura Revenue</t>
        </is>
      </c>
      <c r="B78" s="62">
        <f>B77*B76</f>
        <v/>
      </c>
      <c r="C78" s="62">
        <f>C77*$B76</f>
        <v/>
      </c>
      <c r="D78" s="62">
        <f>D77*$B76</f>
        <v/>
      </c>
      <c r="E78" s="62">
        <f>E77*$B76</f>
        <v/>
      </c>
      <c r="F78" s="62">
        <f>F77*$B76</f>
        <v/>
      </c>
      <c r="G78" s="62">
        <f>G77*$B76</f>
        <v/>
      </c>
      <c r="H78" s="62">
        <f>H77*$B76</f>
        <v/>
      </c>
      <c r="I78" s="62">
        <f>I77*$B76</f>
        <v/>
      </c>
      <c r="J78" s="62">
        <f>J77*$B76</f>
        <v/>
      </c>
      <c r="K78" s="62">
        <f>K77*$B76</f>
        <v/>
      </c>
    </row>
    <row r="79"/>
    <row r="80" ht="15" customHeight="1" s="19">
      <c r="A80" s="54" t="inlineStr">
        <is>
          <t xml:space="preserve">  Sunday Coffee — Guest Count</t>
        </is>
      </c>
      <c r="B80" s="55" t="n">
        <v>80</v>
      </c>
    </row>
    <row r="81" ht="15" customHeight="1" s="19">
      <c r="A81" s="54" t="inlineStr">
        <is>
          <t xml:space="preserve">  Sunday Coffee — Per-person Spend</t>
        </is>
      </c>
      <c r="B81" s="55" t="n">
        <v>8</v>
      </c>
    </row>
    <row r="82" ht="15" customHeight="1" s="19">
      <c r="A82" s="54" t="inlineStr">
        <is>
          <t xml:space="preserve">  Sunday Coffee — Share Rate</t>
        </is>
      </c>
      <c r="B82" s="57" t="n">
        <v>1</v>
      </c>
    </row>
    <row r="83" ht="15" customHeight="1" s="19">
      <c r="A83" s="54" t="inlineStr">
        <is>
          <t xml:space="preserve">  Sunday Coffee — Revenue (fixed, no growth)</t>
        </is>
      </c>
      <c r="B83" s="62">
        <f>$B$80*$B$81*$B$82</f>
        <v/>
      </c>
      <c r="C83" s="62">
        <f>$B$80*$B$81*$B$82</f>
        <v/>
      </c>
      <c r="D83" s="62">
        <f>$B$80*$B$81*$B$82</f>
        <v/>
      </c>
      <c r="E83" s="62">
        <f>$B$80*$B$81*$B$82</f>
        <v/>
      </c>
      <c r="F83" s="62">
        <f>$B$80*$B$81*$B$82</f>
        <v/>
      </c>
      <c r="G83" s="62">
        <f>$B$80*$B$81*$B$82</f>
        <v/>
      </c>
      <c r="H83" s="62">
        <f>$B$80*$B$81*$B$82</f>
        <v/>
      </c>
      <c r="I83" s="62">
        <f>$B$80*$B$81*$B$82</f>
        <v/>
      </c>
      <c r="J83" s="62">
        <f>$B$80*$B$81*$B$82</f>
        <v/>
      </c>
      <c r="K83" s="62">
        <f>$B$80*$B$81*$B$82</f>
        <v/>
      </c>
    </row>
    <row r="84"/>
    <row r="85" ht="15" customHeight="1" s="19">
      <c r="A85" s="59" t="inlineStr">
        <is>
          <t>Bar/F&amp;B Total</t>
        </is>
      </c>
      <c r="B85" s="63">
        <f>B72+B78+B83</f>
        <v/>
      </c>
      <c r="C85" s="63">
        <f>C72+C78+C83</f>
        <v/>
      </c>
      <c r="D85" s="63">
        <f>D72+D78+D83</f>
        <v/>
      </c>
      <c r="E85" s="63">
        <f>E72+E78+E83</f>
        <v/>
      </c>
      <c r="F85" s="63">
        <f>F72+F78+F83</f>
        <v/>
      </c>
      <c r="G85" s="63">
        <f>G72+G78+G83</f>
        <v/>
      </c>
      <c r="H85" s="63">
        <f>H72+H78+H83</f>
        <v/>
      </c>
      <c r="I85" s="63">
        <f>I72+I78+I83</f>
        <v/>
      </c>
      <c r="J85" s="63">
        <f>J72+J78+J83</f>
        <v/>
      </c>
      <c r="K85" s="63">
        <f>K72+K78+K83</f>
        <v/>
      </c>
    </row>
    <row r="86"/>
    <row r="87" ht="15" customHeight="1" s="19">
      <c r="A87" s="53" t="inlineStr">
        <is>
          <t>SECTION 5: DINNER REVENUE</t>
        </is>
      </c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</row>
    <row r="88" ht="15" customHeight="1" s="19">
      <c r="A88" s="60" t="n"/>
      <c r="B88" s="61" t="n">
        <v>2027</v>
      </c>
      <c r="C88" s="61" t="n">
        <v>2028</v>
      </c>
      <c r="D88" s="61" t="n">
        <v>2029</v>
      </c>
      <c r="E88" s="61" t="n">
        <v>2030</v>
      </c>
      <c r="F88" s="61" t="n">
        <v>2031</v>
      </c>
      <c r="G88" s="61" t="n">
        <v>2032</v>
      </c>
      <c r="H88" s="61" t="n">
        <v>2033</v>
      </c>
      <c r="I88" s="61" t="n">
        <v>2034</v>
      </c>
      <c r="J88" s="61" t="n">
        <v>2035</v>
      </c>
      <c r="K88" s="61" t="n">
        <v>2036</v>
      </c>
    </row>
    <row r="89" ht="15" customHeight="1" s="19">
      <c r="A89" s="59" t="inlineStr">
        <is>
          <t>Dinner Revenue (manual input)</t>
        </is>
      </c>
      <c r="B89" s="55" t="n">
        <v>0</v>
      </c>
      <c r="C89" s="55" t="n">
        <v>0</v>
      </c>
      <c r="D89" s="55" t="n">
        <v>0</v>
      </c>
      <c r="E89" s="55" t="n">
        <v>0</v>
      </c>
      <c r="F89" s="55" t="n">
        <v>0</v>
      </c>
      <c r="G89" s="55" t="n">
        <v>0</v>
      </c>
      <c r="H89" s="55" t="n">
        <v>0</v>
      </c>
      <c r="I89" s="55" t="n">
        <v>0</v>
      </c>
      <c r="J89" s="55" t="n">
        <v>0</v>
      </c>
      <c r="K89" s="55" t="n">
        <v>0</v>
      </c>
    </row>
    <row r="90" ht="15" customHeight="1" s="19">
      <c r="A90" s="65" t="inlineStr">
        <is>
          <t xml:space="preserve">  BP: 'Dinner is invite-only, sponsor-funded, never sold.' If a dinner-specific sponsor appears, it goes under Partnerships.</t>
        </is>
      </c>
    </row>
    <row r="91"/>
    <row r="92" ht="15" customHeight="1" s="19">
      <c r="A92" s="53" t="inlineStr">
        <is>
          <t>SECTION 6: OTHER REVENUE</t>
        </is>
      </c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</row>
    <row r="93" ht="15" customHeight="1" s="19">
      <c r="A93" s="60" t="n"/>
      <c r="B93" s="61" t="n">
        <v>2027</v>
      </c>
      <c r="C93" s="61" t="n">
        <v>2028</v>
      </c>
      <c r="D93" s="61" t="n">
        <v>2029</v>
      </c>
      <c r="E93" s="61" t="n">
        <v>2030</v>
      </c>
      <c r="F93" s="61" t="n">
        <v>2031</v>
      </c>
      <c r="G93" s="61" t="n">
        <v>2032</v>
      </c>
      <c r="H93" s="61" t="n">
        <v>2033</v>
      </c>
      <c r="I93" s="61" t="n">
        <v>2034</v>
      </c>
      <c r="J93" s="61" t="n">
        <v>2035</v>
      </c>
      <c r="K93" s="61" t="n">
        <v>2036</v>
      </c>
    </row>
    <row r="94" ht="15" customHeight="1" s="19">
      <c r="A94" s="59" t="inlineStr">
        <is>
          <t>Other Revenue</t>
        </is>
      </c>
      <c r="B94" s="55" t="n">
        <v>2000</v>
      </c>
      <c r="C94" s="62">
        <f>B94*(1+'P&amp;L'!$B$4)</f>
        <v/>
      </c>
      <c r="D94" s="62">
        <f>C94*(1+'P&amp;L'!$B$4)</f>
        <v/>
      </c>
      <c r="E94" s="62">
        <f>D94*(1+'P&amp;L'!$B$4)</f>
        <v/>
      </c>
      <c r="F94" s="62">
        <f>E94*(1+'P&amp;L'!$B$4)</f>
        <v/>
      </c>
      <c r="G94" s="62">
        <f>F94*(1+'P&amp;L'!$B$4)</f>
        <v/>
      </c>
      <c r="H94" s="62">
        <f>G94*(1+'P&amp;L'!$B$4)</f>
        <v/>
      </c>
      <c r="I94" s="62">
        <f>H94*(1+'P&amp;L'!$B$4)</f>
        <v/>
      </c>
      <c r="J94" s="62">
        <f>I94*(1+'P&amp;L'!$B$4)</f>
        <v/>
      </c>
      <c r="K94" s="62">
        <f>J94*(1+'P&amp;L'!$B$4)</f>
        <v/>
      </c>
    </row>
    <row r="95" ht="15" customHeight="1" s="19">
      <c r="A95" s="65" t="inlineStr">
        <is>
          <t xml:space="preserve">  Other Revenue grows with General Inflation Rate (P&amp;L sheet). Contents: add-ons, upselling, merchandise.</t>
        </is>
      </c>
    </row>
    <row r="96"/>
    <row r="97" ht="15" customHeight="1" s="19">
      <c r="A97" s="53" t="inlineStr">
        <is>
          <t>REVENUE TOTALS</t>
        </is>
      </c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</row>
    <row r="98" ht="15" customHeight="1" s="19">
      <c r="A98" s="60" t="n"/>
      <c r="B98" s="61" t="n">
        <v>2027</v>
      </c>
      <c r="C98" s="61" t="n">
        <v>2028</v>
      </c>
      <c r="D98" s="61" t="n">
        <v>2029</v>
      </c>
      <c r="E98" s="61" t="n">
        <v>2030</v>
      </c>
      <c r="F98" s="61" t="n">
        <v>2031</v>
      </c>
      <c r="G98" s="61" t="n">
        <v>2032</v>
      </c>
      <c r="H98" s="61" t="n">
        <v>2033</v>
      </c>
      <c r="I98" s="61" t="n">
        <v>2034</v>
      </c>
      <c r="J98" s="61" t="n">
        <v>2035</v>
      </c>
      <c r="K98" s="61" t="n">
        <v>2036</v>
      </c>
    </row>
    <row r="99" ht="15" customHeight="1" s="19">
      <c r="A99" s="59" t="inlineStr">
        <is>
          <t>TOTAL WINTER REVENUE</t>
        </is>
      </c>
      <c r="B99" s="63">
        <f>B40+B56+B61+B85+B89+B94</f>
        <v/>
      </c>
      <c r="C99" s="63">
        <f>C40+C56+C61+C85+C89+C94</f>
        <v/>
      </c>
      <c r="D99" s="63">
        <f>D40+D56+D61+D85+D89+D94</f>
        <v/>
      </c>
      <c r="E99" s="63">
        <f>E40+E56+E61+E85+E89+E94</f>
        <v/>
      </c>
      <c r="F99" s="63">
        <f>F40+F56+F61+F85+F89+F94</f>
        <v/>
      </c>
      <c r="G99" s="63">
        <f>G40+G56+G61+G85+G89+G94</f>
        <v/>
      </c>
      <c r="H99" s="63">
        <f>H40+H56+H61+H85+H89+H94</f>
        <v/>
      </c>
      <c r="I99" s="63">
        <f>I40+I56+I61+I85+I89+I94</f>
        <v/>
      </c>
      <c r="J99" s="63">
        <f>J40+J56+J61+J85+J89+J94</f>
        <v/>
      </c>
      <c r="K99" s="63">
        <f>K40+K56+K61+K85+K89+K94</f>
        <v/>
      </c>
    </row>
    <row r="100" ht="15" customHeight="1" s="19">
      <c r="A100" s="54" t="inlineStr">
        <is>
          <t>Summer Revenue</t>
        </is>
      </c>
      <c r="B100" s="62">
        <f>IF(2027&gt;=$B$13,B99*$B$11,0)</f>
        <v/>
      </c>
      <c r="C100" s="62">
        <f>IF(2028&gt;=$B$13,C99*$B$11,0)</f>
        <v/>
      </c>
      <c r="D100" s="62">
        <f>IF(2029&gt;=$B$13,D99*$B$11,0)</f>
        <v/>
      </c>
      <c r="E100" s="62">
        <f>IF(2030&gt;=$B$13,E99*$B$11,0)</f>
        <v/>
      </c>
      <c r="F100" s="62">
        <f>IF(2031&gt;=$B$13,F99*$B$11,0)</f>
        <v/>
      </c>
      <c r="G100" s="62">
        <f>IF(2032&gt;=$B$13,G99*$B$11,0)</f>
        <v/>
      </c>
      <c r="H100" s="62">
        <f>IF(2033&gt;=$B$13,H99*$B$11,0)</f>
        <v/>
      </c>
      <c r="I100" s="62">
        <f>IF(2034&gt;=$B$13,I99*$B$11,0)</f>
        <v/>
      </c>
      <c r="J100" s="62">
        <f>IF(2035&gt;=$B$13,J99*$B$11,0)</f>
        <v/>
      </c>
      <c r="K100" s="62">
        <f>IF(2036&gt;=$B$13,K99*$B$11,0)</f>
        <v/>
      </c>
    </row>
    <row r="101" ht="15" customHeight="1" s="19">
      <c r="A101" s="59" t="inlineStr">
        <is>
          <t>TOTAL ANNUAL REVENUE</t>
        </is>
      </c>
      <c r="B101" s="63">
        <f>B99+B100</f>
        <v/>
      </c>
      <c r="C101" s="63">
        <f>C99+C100</f>
        <v/>
      </c>
      <c r="D101" s="63">
        <f>D99+D100</f>
        <v/>
      </c>
      <c r="E101" s="63">
        <f>E99+E100</f>
        <v/>
      </c>
      <c r="F101" s="63">
        <f>F99+F100</f>
        <v/>
      </c>
      <c r="G101" s="63">
        <f>G99+G100</f>
        <v/>
      </c>
      <c r="H101" s="63">
        <f>H99+H100</f>
        <v/>
      </c>
      <c r="I101" s="63">
        <f>I99+I100</f>
        <v/>
      </c>
      <c r="J101" s="63">
        <f>J99+J100</f>
        <v/>
      </c>
      <c r="K101" s="63">
        <f>K99+K100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51" min="1" max="1"/>
    <col width="15" customWidth="1" style="51" min="2" max="11"/>
  </cols>
  <sheetData>
    <row r="1" ht="17.35" customHeight="1" s="19">
      <c r="A1" s="52" t="inlineStr">
        <is>
          <t>PROFIT &amp; LOSS</t>
        </is>
      </c>
    </row>
    <row r="2"/>
    <row r="3" ht="15" customHeight="1" s="19">
      <c r="A3" s="53" t="inlineStr">
        <is>
          <t>EXTERNAL PARAMETERS (normally do not change)</t>
        </is>
      </c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</row>
    <row r="4" ht="15" customHeight="1" s="19">
      <c r="A4" s="54" t="inlineStr">
        <is>
          <t>General Inflation Rate</t>
        </is>
      </c>
      <c r="B4" s="57" t="n">
        <v>0.02</v>
      </c>
    </row>
    <row r="5" ht="15" customHeight="1" s="19">
      <c r="A5" s="54" t="inlineStr">
        <is>
          <t>Tax Rate (Uri canton combined)</t>
        </is>
      </c>
      <c r="B5" s="57" t="n">
        <v>0.1264</v>
      </c>
    </row>
    <row r="6" ht="15" customHeight="1" s="19">
      <c r="A6" s="54" t="inlineStr">
        <is>
          <t>Initial Capital (GmbH paid-in)</t>
        </is>
      </c>
      <c r="B6" s="55" t="n">
        <v>20000</v>
      </c>
    </row>
    <row r="7"/>
    <row r="8" ht="15" customHeight="1" s="19">
      <c r="A8" s="53" t="inlineStr">
        <is>
          <t>10-YEAR PROFIT &amp; LOSS</t>
        </is>
      </c>
      <c r="B8" s="53" t="n"/>
      <c r="C8" s="53" t="n"/>
      <c r="D8" s="53" t="n"/>
      <c r="E8" s="53" t="n"/>
      <c r="F8" s="53" t="n"/>
      <c r="G8" s="53" t="n"/>
      <c r="H8" s="53" t="n"/>
      <c r="I8" s="53" t="n"/>
      <c r="J8" s="53" t="n"/>
      <c r="K8" s="53" t="n"/>
    </row>
    <row r="9" ht="15" customHeight="1" s="19">
      <c r="A9" s="60" t="n"/>
      <c r="B9" s="61" t="n">
        <v>2027</v>
      </c>
      <c r="C9" s="61" t="n">
        <v>2028</v>
      </c>
      <c r="D9" s="61" t="n">
        <v>2029</v>
      </c>
      <c r="E9" s="61" t="n">
        <v>2030</v>
      </c>
      <c r="F9" s="61" t="n">
        <v>2031</v>
      </c>
      <c r="G9" s="61" t="n">
        <v>2032</v>
      </c>
      <c r="H9" s="61" t="n">
        <v>2033</v>
      </c>
      <c r="I9" s="61" t="n">
        <v>2034</v>
      </c>
      <c r="J9" s="61" t="n">
        <v>2035</v>
      </c>
      <c r="K9" s="61" t="n">
        <v>2036</v>
      </c>
    </row>
    <row r="10" ht="15" customHeight="1" s="19">
      <c r="A10" s="54" t="inlineStr">
        <is>
          <t xml:space="preserve">  Net Ticket Revenue</t>
        </is>
      </c>
      <c r="B10" s="62">
        <f>Revenue!B40</f>
        <v/>
      </c>
      <c r="C10" s="62">
        <f>Revenue!C40</f>
        <v/>
      </c>
      <c r="D10" s="62">
        <f>Revenue!D40</f>
        <v/>
      </c>
      <c r="E10" s="62">
        <f>Revenue!E40</f>
        <v/>
      </c>
      <c r="F10" s="62">
        <f>Revenue!F40</f>
        <v/>
      </c>
      <c r="G10" s="62">
        <f>Revenue!G40</f>
        <v/>
      </c>
      <c r="H10" s="62">
        <f>Revenue!H40</f>
        <v/>
      </c>
      <c r="I10" s="62">
        <f>Revenue!I40</f>
        <v/>
      </c>
      <c r="J10" s="62">
        <f>Revenue!J40</f>
        <v/>
      </c>
      <c r="K10" s="62">
        <f>Revenue!K40</f>
        <v/>
      </c>
    </row>
    <row r="11" ht="15" customHeight="1" s="19">
      <c r="A11" s="54" t="inlineStr">
        <is>
          <t xml:space="preserve">  Partnership Revenue</t>
        </is>
      </c>
      <c r="B11" s="62">
        <f>Revenue!B56</f>
        <v/>
      </c>
      <c r="C11" s="62">
        <f>Revenue!C56</f>
        <v/>
      </c>
      <c r="D11" s="62">
        <f>Revenue!D56</f>
        <v/>
      </c>
      <c r="E11" s="62">
        <f>Revenue!E56</f>
        <v/>
      </c>
      <c r="F11" s="62">
        <f>Revenue!F56</f>
        <v/>
      </c>
      <c r="G11" s="62">
        <f>Revenue!G56</f>
        <v/>
      </c>
      <c r="H11" s="62">
        <f>Revenue!H56</f>
        <v/>
      </c>
      <c r="I11" s="62">
        <f>Revenue!I56</f>
        <v/>
      </c>
      <c r="J11" s="62">
        <f>Revenue!J56</f>
        <v/>
      </c>
      <c r="K11" s="62">
        <f>Revenue!K56</f>
        <v/>
      </c>
    </row>
    <row r="12" ht="15" customHeight="1" s="19">
      <c r="A12" s="54" t="inlineStr">
        <is>
          <t xml:space="preserve">  ASA Contribution</t>
        </is>
      </c>
      <c r="B12" s="62">
        <f>Revenue!B61</f>
        <v/>
      </c>
      <c r="C12" s="62">
        <f>Revenue!C61</f>
        <v/>
      </c>
      <c r="D12" s="62">
        <f>Revenue!D61</f>
        <v/>
      </c>
      <c r="E12" s="62">
        <f>Revenue!E61</f>
        <v/>
      </c>
      <c r="F12" s="62">
        <f>Revenue!F61</f>
        <v/>
      </c>
      <c r="G12" s="62">
        <f>Revenue!G61</f>
        <v/>
      </c>
      <c r="H12" s="62">
        <f>Revenue!H61</f>
        <v/>
      </c>
      <c r="I12" s="62">
        <f>Revenue!I61</f>
        <v/>
      </c>
      <c r="J12" s="62">
        <f>Revenue!J61</f>
        <v/>
      </c>
      <c r="K12" s="62">
        <f>Revenue!K61</f>
        <v/>
      </c>
    </row>
    <row r="13" ht="15" customHeight="1" s="19">
      <c r="A13" s="54" t="inlineStr">
        <is>
          <t xml:space="preserve">  Bar/F&amp;B Revenue</t>
        </is>
      </c>
      <c r="B13" s="62">
        <f>Revenue!B85</f>
        <v/>
      </c>
      <c r="C13" s="62">
        <f>Revenue!C85</f>
        <v/>
      </c>
      <c r="D13" s="62">
        <f>Revenue!D85</f>
        <v/>
      </c>
      <c r="E13" s="62">
        <f>Revenue!E85</f>
        <v/>
      </c>
      <c r="F13" s="62">
        <f>Revenue!F85</f>
        <v/>
      </c>
      <c r="G13" s="62">
        <f>Revenue!G85</f>
        <v/>
      </c>
      <c r="H13" s="62">
        <f>Revenue!H85</f>
        <v/>
      </c>
      <c r="I13" s="62">
        <f>Revenue!I85</f>
        <v/>
      </c>
      <c r="J13" s="62">
        <f>Revenue!J85</f>
        <v/>
      </c>
      <c r="K13" s="62">
        <f>Revenue!K85</f>
        <v/>
      </c>
    </row>
    <row r="14" ht="15" customHeight="1" s="19">
      <c r="A14" s="54" t="inlineStr">
        <is>
          <t xml:space="preserve">  Dinner Revenue</t>
        </is>
      </c>
      <c r="B14" s="62">
        <f>Revenue!B89</f>
        <v/>
      </c>
      <c r="C14" s="62">
        <f>Revenue!C89</f>
        <v/>
      </c>
      <c r="D14" s="62">
        <f>Revenue!D89</f>
        <v/>
      </c>
      <c r="E14" s="62">
        <f>Revenue!E89</f>
        <v/>
      </c>
      <c r="F14" s="62">
        <f>Revenue!F89</f>
        <v/>
      </c>
      <c r="G14" s="62">
        <f>Revenue!G89</f>
        <v/>
      </c>
      <c r="H14" s="62">
        <f>Revenue!H89</f>
        <v/>
      </c>
      <c r="I14" s="62">
        <f>Revenue!I89</f>
        <v/>
      </c>
      <c r="J14" s="62">
        <f>Revenue!J89</f>
        <v/>
      </c>
      <c r="K14" s="62">
        <f>Revenue!K89</f>
        <v/>
      </c>
    </row>
    <row r="15" ht="15" customHeight="1" s="19">
      <c r="A15" s="54" t="inlineStr">
        <is>
          <t xml:space="preserve">  Other Revenue</t>
        </is>
      </c>
      <c r="B15" s="62">
        <f>Revenue!B94</f>
        <v/>
      </c>
      <c r="C15" s="62">
        <f>Revenue!C94</f>
        <v/>
      </c>
      <c r="D15" s="62">
        <f>Revenue!D94</f>
        <v/>
      </c>
      <c r="E15" s="62">
        <f>Revenue!E94</f>
        <v/>
      </c>
      <c r="F15" s="62">
        <f>Revenue!F94</f>
        <v/>
      </c>
      <c r="G15" s="62">
        <f>Revenue!G94</f>
        <v/>
      </c>
      <c r="H15" s="62">
        <f>Revenue!H94</f>
        <v/>
      </c>
      <c r="I15" s="62">
        <f>Revenue!I94</f>
        <v/>
      </c>
      <c r="J15" s="62">
        <f>Revenue!J94</f>
        <v/>
      </c>
      <c r="K15" s="62">
        <f>Revenue!K94</f>
        <v/>
      </c>
    </row>
    <row r="16"/>
    <row r="17" ht="15" customHeight="1" s="19">
      <c r="A17" s="59" t="inlineStr">
        <is>
          <t>TOTAL REVENUE</t>
        </is>
      </c>
      <c r="B17" s="63">
        <f>Revenue!B101</f>
        <v/>
      </c>
      <c r="C17" s="63">
        <f>Revenue!C101</f>
        <v/>
      </c>
      <c r="D17" s="63">
        <f>Revenue!D101</f>
        <v/>
      </c>
      <c r="E17" s="63">
        <f>Revenue!E101</f>
        <v/>
      </c>
      <c r="F17" s="63">
        <f>Revenue!F101</f>
        <v/>
      </c>
      <c r="G17" s="63">
        <f>Revenue!G101</f>
        <v/>
      </c>
      <c r="H17" s="63">
        <f>Revenue!H101</f>
        <v/>
      </c>
      <c r="I17" s="63">
        <f>Revenue!I101</f>
        <v/>
      </c>
      <c r="J17" s="63">
        <f>Revenue!J101</f>
        <v/>
      </c>
      <c r="K17" s="63">
        <f>Revenue!K101</f>
        <v/>
      </c>
    </row>
    <row r="18"/>
    <row r="19" ht="15" customHeight="1" s="19">
      <c r="A19" s="53" t="inlineStr">
        <is>
          <t>Costs</t>
        </is>
      </c>
      <c r="B19" s="66" t="n"/>
      <c r="C19" s="66" t="n"/>
      <c r="D19" s="66" t="n"/>
      <c r="E19" s="66" t="n"/>
      <c r="F19" s="66" t="n"/>
      <c r="G19" s="66" t="n"/>
      <c r="H19" s="66" t="n"/>
      <c r="I19" s="66" t="n"/>
      <c r="J19" s="66" t="n"/>
      <c r="K19" s="66" t="n"/>
    </row>
    <row r="20" ht="15" customHeight="1" s="19">
      <c r="A20" s="54" t="inlineStr">
        <is>
          <t xml:space="preserve">  Total Direct Costs</t>
        </is>
      </c>
      <c r="B20" s="62">
        <f>-Cost!B49</f>
        <v/>
      </c>
      <c r="C20" s="62">
        <f>-Cost!C49</f>
        <v/>
      </c>
      <c r="D20" s="62">
        <f>-Cost!D49</f>
        <v/>
      </c>
      <c r="E20" s="62">
        <f>-Cost!E49</f>
        <v/>
      </c>
      <c r="F20" s="62">
        <f>-Cost!F49</f>
        <v/>
      </c>
      <c r="G20" s="62">
        <f>-Cost!G49</f>
        <v/>
      </c>
      <c r="H20" s="62">
        <f>-Cost!H49</f>
        <v/>
      </c>
      <c r="I20" s="62">
        <f>-Cost!I49</f>
        <v/>
      </c>
      <c r="J20" s="62">
        <f>-Cost!J49</f>
        <v/>
      </c>
      <c r="K20" s="62">
        <f>-Cost!K49</f>
        <v/>
      </c>
    </row>
    <row r="21" ht="15" customHeight="1" s="19">
      <c r="A21" s="54" t="inlineStr">
        <is>
          <t xml:space="preserve">  Overhead</t>
        </is>
      </c>
      <c r="B21" s="62">
        <f>-Cost!B53</f>
        <v/>
      </c>
      <c r="C21" s="62">
        <f>-Cost!C53</f>
        <v/>
      </c>
      <c r="D21" s="62">
        <f>-Cost!D53</f>
        <v/>
      </c>
      <c r="E21" s="62">
        <f>-Cost!E53</f>
        <v/>
      </c>
      <c r="F21" s="62">
        <f>-Cost!F53</f>
        <v/>
      </c>
      <c r="G21" s="62">
        <f>-Cost!G53</f>
        <v/>
      </c>
      <c r="H21" s="62">
        <f>-Cost!H53</f>
        <v/>
      </c>
      <c r="I21" s="62">
        <f>-Cost!I53</f>
        <v/>
      </c>
      <c r="J21" s="62">
        <f>-Cost!J53</f>
        <v/>
      </c>
      <c r="K21" s="62">
        <f>-Cost!K53</f>
        <v/>
      </c>
    </row>
    <row r="22" ht="15" customHeight="1" s="19">
      <c r="A22" s="54" t="inlineStr">
        <is>
          <t xml:space="preserve">  Founder Pay</t>
        </is>
      </c>
      <c r="B22" s="62">
        <f>-Cost!B55</f>
        <v/>
      </c>
      <c r="C22" s="62">
        <f>-Cost!C55</f>
        <v/>
      </c>
      <c r="D22" s="62">
        <f>-Cost!D55</f>
        <v/>
      </c>
      <c r="E22" s="62">
        <f>-Cost!E55</f>
        <v/>
      </c>
      <c r="F22" s="62">
        <f>-Cost!F55</f>
        <v/>
      </c>
      <c r="G22" s="62">
        <f>-Cost!G55</f>
        <v/>
      </c>
      <c r="H22" s="62">
        <f>-Cost!H55</f>
        <v/>
      </c>
      <c r="I22" s="62">
        <f>-Cost!I55</f>
        <v/>
      </c>
      <c r="J22" s="62">
        <f>-Cost!J55</f>
        <v/>
      </c>
      <c r="K22" s="62">
        <f>-Cost!K55</f>
        <v/>
      </c>
    </row>
    <row r="23"/>
    <row r="24" ht="15" customHeight="1" s="19">
      <c r="A24" s="59" t="inlineStr">
        <is>
          <t>TOTAL COSTS</t>
        </is>
      </c>
      <c r="B24" s="63">
        <f>B20+B21+B22</f>
        <v/>
      </c>
      <c r="C24" s="63">
        <f>C20+C21+C22</f>
        <v/>
      </c>
      <c r="D24" s="63">
        <f>D20+D21+D22</f>
        <v/>
      </c>
      <c r="E24" s="63">
        <f>E20+E21+E22</f>
        <v/>
      </c>
      <c r="F24" s="63">
        <f>F20+F21+F22</f>
        <v/>
      </c>
      <c r="G24" s="63">
        <f>G20+G21+G22</f>
        <v/>
      </c>
      <c r="H24" s="63">
        <f>H20+H21+H22</f>
        <v/>
      </c>
      <c r="I24" s="63">
        <f>I20+I21+I22</f>
        <v/>
      </c>
      <c r="J24" s="63">
        <f>J20+J21+J22</f>
        <v/>
      </c>
      <c r="K24" s="63">
        <f>K20+K21+K22</f>
        <v/>
      </c>
    </row>
    <row r="25"/>
    <row r="26" ht="15" customHeight="1" s="19">
      <c r="A26" s="53" t="inlineStr">
        <is>
          <t>RESULTS</t>
        </is>
      </c>
      <c r="B26" s="53" t="n"/>
      <c r="C26" s="53" t="n"/>
      <c r="D26" s="53" t="n"/>
      <c r="E26" s="53" t="n"/>
      <c r="F26" s="53" t="n"/>
      <c r="G26" s="53" t="n"/>
      <c r="H26" s="53" t="n"/>
      <c r="I26" s="53" t="n"/>
      <c r="J26" s="53" t="n"/>
      <c r="K26" s="53" t="n"/>
    </row>
    <row r="27" ht="15" customHeight="1" s="19">
      <c r="A27" s="59" t="inlineStr">
        <is>
          <t>EBIT</t>
        </is>
      </c>
      <c r="B27" s="64">
        <f>B17+B24</f>
        <v/>
      </c>
      <c r="C27" s="64">
        <f>C17+C24</f>
        <v/>
      </c>
      <c r="D27" s="64">
        <f>D17+D24</f>
        <v/>
      </c>
      <c r="E27" s="64">
        <f>E17+E24</f>
        <v/>
      </c>
      <c r="F27" s="64">
        <f>F17+F24</f>
        <v/>
      </c>
      <c r="G27" s="64">
        <f>G17+G24</f>
        <v/>
      </c>
      <c r="H27" s="64">
        <f>H17+H24</f>
        <v/>
      </c>
      <c r="I27" s="64">
        <f>I17+I24</f>
        <v/>
      </c>
      <c r="J27" s="64">
        <f>J17+J24</f>
        <v/>
      </c>
      <c r="K27" s="64">
        <f>K17+K24</f>
        <v/>
      </c>
    </row>
    <row r="28" ht="15" customHeight="1" s="19">
      <c r="A28" s="54" t="inlineStr">
        <is>
          <t>Tax</t>
        </is>
      </c>
      <c r="B28" s="62">
        <f>IF(B27&gt;0,-B27*$B$5,0)</f>
        <v/>
      </c>
      <c r="C28" s="62">
        <f>IF(C27&gt;0,-C27*$B$5,0)</f>
        <v/>
      </c>
      <c r="D28" s="62">
        <f>IF(D27&gt;0,-D27*$B$5,0)</f>
        <v/>
      </c>
      <c r="E28" s="62">
        <f>IF(E27&gt;0,-E27*$B$5,0)</f>
        <v/>
      </c>
      <c r="F28" s="62">
        <f>IF(F27&gt;0,-F27*$B$5,0)</f>
        <v/>
      </c>
      <c r="G28" s="62">
        <f>IF(G27&gt;0,-G27*$B$5,0)</f>
        <v/>
      </c>
      <c r="H28" s="62">
        <f>IF(H27&gt;0,-H27*$B$5,0)</f>
        <v/>
      </c>
      <c r="I28" s="62">
        <f>IF(I27&gt;0,-I27*$B$5,0)</f>
        <v/>
      </c>
      <c r="J28" s="62">
        <f>IF(J27&gt;0,-J27*$B$5,0)</f>
        <v/>
      </c>
      <c r="K28" s="62">
        <f>IF(K27&gt;0,-K27*$B$5,0)</f>
        <v/>
      </c>
    </row>
    <row r="29" ht="15" customHeight="1" s="19">
      <c r="A29" s="59" t="inlineStr">
        <is>
          <t>PROFIT AFTER TAX</t>
        </is>
      </c>
      <c r="B29" s="63">
        <f>B27+B28</f>
        <v/>
      </c>
      <c r="C29" s="63">
        <f>C27+C28</f>
        <v/>
      </c>
      <c r="D29" s="63">
        <f>D27+D28</f>
        <v/>
      </c>
      <c r="E29" s="63">
        <f>E27+E28</f>
        <v/>
      </c>
      <c r="F29" s="63">
        <f>F27+F28</f>
        <v/>
      </c>
      <c r="G29" s="63">
        <f>G27+G28</f>
        <v/>
      </c>
      <c r="H29" s="63">
        <f>H27+H28</f>
        <v/>
      </c>
      <c r="I29" s="63">
        <f>I27+I28</f>
        <v/>
      </c>
      <c r="J29" s="63">
        <f>J27+J28</f>
        <v/>
      </c>
      <c r="K29" s="63">
        <f>K27+K28</f>
        <v/>
      </c>
    </row>
    <row r="30" ht="15" customHeight="1" s="19">
      <c r="A30" s="59" t="inlineStr">
        <is>
          <t>CUMULATIVE CASH</t>
        </is>
      </c>
      <c r="B30" s="64">
        <f>$B$6+B29</f>
        <v/>
      </c>
      <c r="C30" s="64">
        <f>B30+C29</f>
        <v/>
      </c>
      <c r="D30" s="64">
        <f>C30+D29</f>
        <v/>
      </c>
      <c r="E30" s="64">
        <f>D30+E29</f>
        <v/>
      </c>
      <c r="F30" s="64">
        <f>E30+F29</f>
        <v/>
      </c>
      <c r="G30" s="64">
        <f>F30+G29</f>
        <v/>
      </c>
      <c r="H30" s="64">
        <f>G30+H29</f>
        <v/>
      </c>
      <c r="I30" s="64">
        <f>H30+I29</f>
        <v/>
      </c>
      <c r="J30" s="64">
        <f>I30+J29</f>
        <v/>
      </c>
      <c r="K30" s="64">
        <f>J30+K29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51" min="1" max="1"/>
    <col width="15" customWidth="1" style="51" min="2" max="11"/>
  </cols>
  <sheetData>
    <row r="1" ht="17.35" customHeight="1" s="19">
      <c r="A1" s="52" t="inlineStr">
        <is>
          <t>COST</t>
        </is>
      </c>
    </row>
    <row r="2"/>
    <row r="3" ht="15" customHeight="1" s="19">
      <c r="A3" s="53" t="inlineStr">
        <is>
          <t>GLOBAL COST VARIABLES</t>
        </is>
      </c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</row>
    <row r="4" ht="15" customHeight="1" s="19">
      <c r="A4" s="54" t="inlineStr">
        <is>
          <t>Venue Contract Escalation Rate</t>
        </is>
      </c>
      <c r="B4" s="57" t="n">
        <v>0.03</v>
      </c>
    </row>
    <row r="5" ht="15" customHeight="1" s="19">
      <c r="A5" s="54" t="inlineStr">
        <is>
          <t>Ambition Growth Rate (Category C)</t>
        </is>
      </c>
      <c r="B5" s="57" t="n">
        <v>0.06</v>
      </c>
    </row>
    <row r="6" ht="15" customHeight="1" s="19">
      <c r="A6" s="54" t="inlineStr">
        <is>
          <t>Contingency %</t>
        </is>
      </c>
      <c r="B6" s="57" t="n">
        <v>0.09</v>
      </c>
    </row>
    <row r="7"/>
    <row r="8" ht="15" customHeight="1" s="19">
      <c r="A8" s="65" t="inlineStr">
        <is>
          <t>COST CATEGORY DEFINITIONS:</t>
        </is>
      </c>
    </row>
    <row r="9" ht="15" customHeight="1" s="19">
      <c r="A9" s="65" t="inlineStr">
        <is>
          <t xml:space="preserve">  Category A (Fixed/Contract): Costs driven by contracts or predictable obligations. Grow at contractual rate or general inflation.</t>
        </is>
      </c>
    </row>
    <row r="10" ht="15" customHeight="1" s="19">
      <c r="A10" s="65" t="inlineStr">
        <is>
          <t xml:space="preserve">  Category B (Guest-linked): Costs that scale with the number of ticket holders. More tickets sold = higher cost.</t>
        </is>
      </c>
    </row>
    <row r="11" ht="15" customHeight="1" s="19">
      <c r="A11" s="65" t="inlineStr">
        <is>
          <t xml:space="preserve">  Category C (Ambition-linked): Costs tied to the quality and ambition of the event. Default growth: Ambition Growth Rate above.</t>
        </is>
      </c>
    </row>
    <row r="12" ht="15" customHeight="1" s="19">
      <c r="A12" s="65" t="inlineStr">
        <is>
          <t xml:space="preserve">  Contingency: A buffer calculated as % of total costs (A+B+C) for unexpected expenses.</t>
        </is>
      </c>
    </row>
    <row r="13"/>
    <row r="14" ht="15" customHeight="1" s="19">
      <c r="A14" s="53" t="inlineStr">
        <is>
          <t>CATEGORY A: FIXED / CONTRACT</t>
        </is>
      </c>
      <c r="B14" s="53" t="n"/>
      <c r="C14" s="53" t="n"/>
      <c r="D14" s="53" t="n"/>
      <c r="E14" s="53" t="n"/>
      <c r="F14" s="53" t="n"/>
      <c r="G14" s="53" t="n"/>
      <c r="H14" s="53" t="n"/>
      <c r="I14" s="53" t="n"/>
      <c r="J14" s="53" t="n"/>
      <c r="K14" s="53" t="n"/>
    </row>
    <row r="15" ht="15" customHeight="1" s="19">
      <c r="A15" s="60" t="n"/>
      <c r="B15" s="61" t="n">
        <v>2027</v>
      </c>
      <c r="C15" s="61" t="n">
        <v>2028</v>
      </c>
      <c r="D15" s="61" t="n">
        <v>2029</v>
      </c>
      <c r="E15" s="61" t="n">
        <v>2030</v>
      </c>
      <c r="F15" s="61" t="n">
        <v>2031</v>
      </c>
      <c r="G15" s="61" t="n">
        <v>2032</v>
      </c>
      <c r="H15" s="61" t="n">
        <v>2033</v>
      </c>
      <c r="I15" s="61" t="n">
        <v>2034</v>
      </c>
      <c r="J15" s="61" t="n">
        <v>2035</v>
      </c>
      <c r="K15" s="61" t="n">
        <v>2036</v>
      </c>
    </row>
    <row r="16" ht="15" customHeight="1" s="19">
      <c r="A16" s="54" t="inlineStr">
        <is>
          <t xml:space="preserve">  Venue (Swiss House)</t>
        </is>
      </c>
      <c r="B16" s="55" t="n">
        <v>27951</v>
      </c>
      <c r="C16" s="62">
        <f>B16*(1+$B$4)</f>
        <v/>
      </c>
      <c r="D16" s="62">
        <f>C16*(1+$B$4)</f>
        <v/>
      </c>
      <c r="E16" s="62">
        <f>D16*(1+$B$4)</f>
        <v/>
      </c>
      <c r="F16" s="62">
        <f>E16*(1+$B$4)</f>
        <v/>
      </c>
      <c r="G16" s="62">
        <f>F16*(1+$B$4)</f>
        <v/>
      </c>
      <c r="H16" s="62">
        <f>G16*(1+$B$4)</f>
        <v/>
      </c>
      <c r="I16" s="62">
        <f>H16*(1+$B$4)</f>
        <v/>
      </c>
      <c r="J16" s="62">
        <f>I16*(1+$B$4)</f>
        <v/>
      </c>
      <c r="K16" s="62">
        <f>J16*(1+$B$4)</f>
        <v/>
      </c>
    </row>
    <row r="17" ht="15" customHeight="1" s="19">
      <c r="A17" s="54" t="inlineStr">
        <is>
          <t xml:space="preserve">  F&amp;B Credit (guest spend vs minimums)</t>
        </is>
      </c>
      <c r="B17" s="55" t="n">
        <v>-9000</v>
      </c>
      <c r="C17" s="62">
        <f>B17*(1+$B$4)</f>
        <v/>
      </c>
      <c r="D17" s="62">
        <f>C17*(1+$B$4)</f>
        <v/>
      </c>
      <c r="E17" s="62">
        <f>D17*(1+$B$4)</f>
        <v/>
      </c>
      <c r="F17" s="62">
        <f>E17*(1+$B$4)</f>
        <v/>
      </c>
      <c r="G17" s="62">
        <f>F17*(1+$B$4)</f>
        <v/>
      </c>
      <c r="H17" s="62">
        <f>G17*(1+$B$4)</f>
        <v/>
      </c>
      <c r="I17" s="62">
        <f>H17*(1+$B$4)</f>
        <v/>
      </c>
      <c r="J17" s="62">
        <f>I17*(1+$B$4)</f>
        <v/>
      </c>
      <c r="K17" s="62">
        <f>J17*(1+$B$4)</f>
        <v/>
      </c>
    </row>
    <row r="18" ht="15" customHeight="1" s="19">
      <c r="A18" s="54" t="inlineStr">
        <is>
          <t xml:space="preserve">  Insurance / Permits / Ticketing</t>
        </is>
      </c>
      <c r="B18" s="55" t="n">
        <v>2500</v>
      </c>
      <c r="C18" s="62">
        <f>B18*(1+'P&amp;L'!$B$4)</f>
        <v/>
      </c>
      <c r="D18" s="62">
        <f>C18*(1+'P&amp;L'!$B$4)</f>
        <v/>
      </c>
      <c r="E18" s="62">
        <f>D18*(1+'P&amp;L'!$B$4)</f>
        <v/>
      </c>
      <c r="F18" s="62">
        <f>E18*(1+'P&amp;L'!$B$4)</f>
        <v/>
      </c>
      <c r="G18" s="62">
        <f>F18*(1+'P&amp;L'!$B$4)</f>
        <v/>
      </c>
      <c r="H18" s="62">
        <f>G18*(1+'P&amp;L'!$B$4)</f>
        <v/>
      </c>
      <c r="I18" s="62">
        <f>H18*(1+'P&amp;L'!$B$4)</f>
        <v/>
      </c>
      <c r="J18" s="62">
        <f>I18*(1+'P&amp;L'!$B$4)</f>
        <v/>
      </c>
      <c r="K18" s="62">
        <f>J18*(1+'P&amp;L'!$B$4)</f>
        <v/>
      </c>
    </row>
    <row r="19" ht="15" customHeight="1" s="19">
      <c r="A19" s="54" t="inlineStr">
        <is>
          <t xml:space="preserve">  Transport</t>
        </is>
      </c>
      <c r="B19" s="55" t="n">
        <v>2500</v>
      </c>
      <c r="C19" s="62">
        <f>B19*(1+'P&amp;L'!$B$4)</f>
        <v/>
      </c>
      <c r="D19" s="62">
        <f>C19*(1+'P&amp;L'!$B$4)</f>
        <v/>
      </c>
      <c r="E19" s="62">
        <f>D19*(1+'P&amp;L'!$B$4)</f>
        <v/>
      </c>
      <c r="F19" s="62">
        <f>E19*(1+'P&amp;L'!$B$4)</f>
        <v/>
      </c>
      <c r="G19" s="62">
        <f>F19*(1+'P&amp;L'!$B$4)</f>
        <v/>
      </c>
      <c r="H19" s="62">
        <f>G19*(1+'P&amp;L'!$B$4)</f>
        <v/>
      </c>
      <c r="I19" s="62">
        <f>H19*(1+'P&amp;L'!$B$4)</f>
        <v/>
      </c>
      <c r="J19" s="62">
        <f>I19*(1+'P&amp;L'!$B$4)</f>
        <v/>
      </c>
      <c r="K19" s="62">
        <f>J19*(1+'P&amp;L'!$B$4)</f>
        <v/>
      </c>
    </row>
    <row r="20" ht="15" customHeight="1" s="19">
      <c r="A20" s="54" t="inlineStr">
        <is>
          <t xml:space="preserve">  Sunday Program (incl. GRÜEZI coffee costs)</t>
        </is>
      </c>
      <c r="B20" s="55" t="n">
        <v>1000</v>
      </c>
      <c r="C20" s="62">
        <f>B20*(1+'P&amp;L'!$B$4)</f>
        <v/>
      </c>
      <c r="D20" s="62">
        <f>C20*(1+'P&amp;L'!$B$4)</f>
        <v/>
      </c>
      <c r="E20" s="62">
        <f>D20*(1+'P&amp;L'!$B$4)</f>
        <v/>
      </c>
      <c r="F20" s="62">
        <f>E20*(1+'P&amp;L'!$B$4)</f>
        <v/>
      </c>
      <c r="G20" s="62">
        <f>F20*(1+'P&amp;L'!$B$4)</f>
        <v/>
      </c>
      <c r="H20" s="62">
        <f>G20*(1+'P&amp;L'!$B$4)</f>
        <v/>
      </c>
      <c r="I20" s="62">
        <f>H20*(1+'P&amp;L'!$B$4)</f>
        <v/>
      </c>
      <c r="J20" s="62">
        <f>I20*(1+'P&amp;L'!$B$4)</f>
        <v/>
      </c>
      <c r="K20" s="62">
        <f>J20*(1+'P&amp;L'!$B$4)</f>
        <v/>
      </c>
    </row>
    <row r="21"/>
    <row r="22" ht="15" customHeight="1" s="19">
      <c r="A22" s="59" t="inlineStr">
        <is>
          <t>Category A Subtotal</t>
        </is>
      </c>
      <c r="B22" s="63">
        <f>B16+B17+B18+B19+B20</f>
        <v/>
      </c>
      <c r="C22" s="63">
        <f>C16+C17+C18+C19+C20</f>
        <v/>
      </c>
      <c r="D22" s="63">
        <f>D16+D17+D18+D19+D20</f>
        <v/>
      </c>
      <c r="E22" s="63">
        <f>E16+E17+E18+E19+E20</f>
        <v/>
      </c>
      <c r="F22" s="63">
        <f>F16+F17+F18+F19+F20</f>
        <v/>
      </c>
      <c r="G22" s="63">
        <f>G16+G17+G18+G19+G20</f>
        <v/>
      </c>
      <c r="H22" s="63">
        <f>H16+H17+H18+H19+H20</f>
        <v/>
      </c>
      <c r="I22" s="63">
        <f>I16+I17+I18+I19+I20</f>
        <v/>
      </c>
      <c r="J22" s="63">
        <f>J16+J17+J18+J19+J20</f>
        <v/>
      </c>
      <c r="K22" s="63">
        <f>K16+K17+K18+K19+K20</f>
        <v/>
      </c>
    </row>
    <row r="23"/>
    <row r="24" ht="15" customHeight="1" s="19">
      <c r="A24" s="53" t="inlineStr">
        <is>
          <t>CATEGORY B: GUEST-LINKED</t>
        </is>
      </c>
      <c r="B24" s="53" t="n"/>
      <c r="C24" s="53" t="n"/>
      <c r="D24" s="53" t="n"/>
      <c r="E24" s="53" t="n"/>
      <c r="F24" s="53" t="n"/>
      <c r="G24" s="53" t="n"/>
      <c r="H24" s="53" t="n"/>
      <c r="I24" s="53" t="n"/>
      <c r="J24" s="53" t="n"/>
      <c r="K24" s="53" t="n"/>
    </row>
    <row r="25" ht="15" customHeight="1" s="19">
      <c r="A25" s="60" t="n"/>
      <c r="B25" s="61" t="n">
        <v>2027</v>
      </c>
      <c r="C25" s="61" t="n">
        <v>2028</v>
      </c>
      <c r="D25" s="61" t="n">
        <v>2029</v>
      </c>
      <c r="E25" s="61" t="n">
        <v>2030</v>
      </c>
      <c r="F25" s="61" t="n">
        <v>2031</v>
      </c>
      <c r="G25" s="61" t="n">
        <v>2032</v>
      </c>
      <c r="H25" s="61" t="n">
        <v>2033</v>
      </c>
      <c r="I25" s="61" t="n">
        <v>2034</v>
      </c>
      <c r="J25" s="61" t="n">
        <v>2035</v>
      </c>
      <c r="K25" s="61" t="n">
        <v>2036</v>
      </c>
    </row>
    <row r="26" ht="15" customHeight="1" s="19">
      <c r="A26" s="54" t="inlineStr">
        <is>
          <t xml:space="preserve">  Welcome Drinks (Ticket Count × 2 × CHF 9)</t>
        </is>
      </c>
      <c r="B26" s="55" t="n">
        <v>4500</v>
      </c>
      <c r="C26" s="62">
        <f>Revenue!$B$5*2*9</f>
        <v/>
      </c>
      <c r="D26" s="62">
        <f>Revenue!$B$5*2*9</f>
        <v/>
      </c>
      <c r="E26" s="62">
        <f>Revenue!$B$5*2*9</f>
        <v/>
      </c>
      <c r="F26" s="62">
        <f>Revenue!$B$5*2*9</f>
        <v/>
      </c>
      <c r="G26" s="62">
        <f>Revenue!$B$5*2*9</f>
        <v/>
      </c>
      <c r="H26" s="62">
        <f>Revenue!$B$5*2*9</f>
        <v/>
      </c>
      <c r="I26" s="62">
        <f>Revenue!$B$5*2*9</f>
        <v/>
      </c>
      <c r="J26" s="62">
        <f>Revenue!$B$5*2*9</f>
        <v/>
      </c>
      <c r="K26" s="62">
        <f>Revenue!$B$5*2*9</f>
        <v/>
      </c>
    </row>
    <row r="27" ht="15" customHeight="1" s="19">
      <c r="A27" s="54" t="inlineStr">
        <is>
          <t xml:space="preserve">  Security</t>
        </is>
      </c>
      <c r="B27" s="55" t="n">
        <v>4500</v>
      </c>
      <c r="C27" s="62">
        <f>$B$27</f>
        <v/>
      </c>
      <c r="D27" s="62">
        <f>$B$27</f>
        <v/>
      </c>
      <c r="E27" s="62">
        <f>$B$27</f>
        <v/>
      </c>
      <c r="F27" s="62">
        <f>$B$27</f>
        <v/>
      </c>
      <c r="G27" s="62">
        <f>$B$27</f>
        <v/>
      </c>
      <c r="H27" s="62">
        <f>$B$27</f>
        <v/>
      </c>
      <c r="I27" s="62">
        <f>$B$27</f>
        <v/>
      </c>
      <c r="J27" s="62">
        <f>$B$27</f>
        <v/>
      </c>
      <c r="K27" s="62">
        <f>$B$27</f>
        <v/>
      </c>
    </row>
    <row r="28"/>
    <row r="29" ht="15" customHeight="1" s="19">
      <c r="A29" s="59" t="inlineStr">
        <is>
          <t>Category B Subtotal</t>
        </is>
      </c>
      <c r="B29" s="63">
        <f>B26+B27</f>
        <v/>
      </c>
      <c r="C29" s="63">
        <f>C26+C27</f>
        <v/>
      </c>
      <c r="D29" s="63">
        <f>D26+D27</f>
        <v/>
      </c>
      <c r="E29" s="63">
        <f>E26+E27</f>
        <v/>
      </c>
      <c r="F29" s="63">
        <f>F26+F27</f>
        <v/>
      </c>
      <c r="G29" s="63">
        <f>G26+G27</f>
        <v/>
      </c>
      <c r="H29" s="63">
        <f>H26+H27</f>
        <v/>
      </c>
      <c r="I29" s="63">
        <f>I26+I27</f>
        <v/>
      </c>
      <c r="J29" s="63">
        <f>J26+J27</f>
        <v/>
      </c>
      <c r="K29" s="63">
        <f>K26+K27</f>
        <v/>
      </c>
    </row>
    <row r="30"/>
    <row r="31" ht="15" customHeight="1" s="19">
      <c r="A31" s="53" t="inlineStr">
        <is>
          <t>CATEGORY C: AMBITION-LINKED</t>
        </is>
      </c>
      <c r="B31" s="53" t="n"/>
      <c r="C31" s="53" t="n"/>
      <c r="D31" s="53" t="n"/>
      <c r="E31" s="53" t="n"/>
      <c r="F31" s="53" t="n"/>
      <c r="G31" s="53" t="n"/>
      <c r="H31" s="53" t="n"/>
      <c r="I31" s="53" t="n"/>
      <c r="J31" s="53" t="n"/>
      <c r="K31" s="53" t="n"/>
    </row>
    <row r="32" ht="15" customHeight="1" s="19">
      <c r="A32" s="60" t="n"/>
      <c r="B32" s="61" t="n">
        <v>2027</v>
      </c>
      <c r="C32" s="61" t="n">
        <v>2028</v>
      </c>
      <c r="D32" s="61" t="n">
        <v>2029</v>
      </c>
      <c r="E32" s="61" t="n">
        <v>2030</v>
      </c>
      <c r="F32" s="61" t="n">
        <v>2031</v>
      </c>
      <c r="G32" s="61" t="n">
        <v>2032</v>
      </c>
      <c r="H32" s="61" t="n">
        <v>2033</v>
      </c>
      <c r="I32" s="61" t="n">
        <v>2034</v>
      </c>
      <c r="J32" s="61" t="n">
        <v>2035</v>
      </c>
      <c r="K32" s="61" t="n">
        <v>2036</v>
      </c>
    </row>
    <row r="33" ht="15" customHeight="1" s="19">
      <c r="A33" s="54" t="inlineStr">
        <is>
          <t xml:space="preserve">  Talent (DJs / Artists)</t>
        </is>
      </c>
      <c r="B33" s="55" t="n">
        <v>18000</v>
      </c>
      <c r="C33" s="62">
        <f>B33*(1+$B$5)</f>
        <v/>
      </c>
      <c r="D33" s="62">
        <f>C33*(1+$B$5)</f>
        <v/>
      </c>
      <c r="E33" s="62">
        <f>D33*(1+$B$5)</f>
        <v/>
      </c>
      <c r="F33" s="62">
        <f>E33*(1+$B$5)</f>
        <v/>
      </c>
      <c r="G33" s="62">
        <f>F33*(1+$B$5)</f>
        <v/>
      </c>
      <c r="H33" s="62">
        <f>G33*(1+$B$5)</f>
        <v/>
      </c>
      <c r="I33" s="62">
        <f>H33*(1+$B$5)</f>
        <v/>
      </c>
      <c r="J33" s="62">
        <f>I33*(1+$B$5)</f>
        <v/>
      </c>
      <c r="K33" s="62">
        <f>J33*(1+$B$5)</f>
        <v/>
      </c>
    </row>
    <row r="34" ht="15" customHeight="1" s="19">
      <c r="A34" s="54" t="inlineStr">
        <is>
          <t xml:space="preserve">  Production (Sound / Lighting)</t>
        </is>
      </c>
      <c r="B34" s="55" t="n">
        <v>12000</v>
      </c>
      <c r="C34" s="62">
        <f>B34*(1+$B$5)</f>
        <v/>
      </c>
      <c r="D34" s="62">
        <f>C34*(1+$B$5)</f>
        <v/>
      </c>
      <c r="E34" s="62">
        <f>D34*(1+$B$5)</f>
        <v/>
      </c>
      <c r="F34" s="62">
        <f>E34*(1+$B$5)</f>
        <v/>
      </c>
      <c r="G34" s="62">
        <f>F34*(1+$B$5)</f>
        <v/>
      </c>
      <c r="H34" s="62">
        <f>G34*(1+$B$5)</f>
        <v/>
      </c>
      <c r="I34" s="62">
        <f>H34*(1+$B$5)</f>
        <v/>
      </c>
      <c r="J34" s="62">
        <f>I34*(1+$B$5)</f>
        <v/>
      </c>
      <c r="K34" s="62">
        <f>J34*(1+$B$5)</f>
        <v/>
      </c>
    </row>
    <row r="35" ht="15" customHeight="1" s="19">
      <c r="A35" s="54" t="inlineStr">
        <is>
          <t xml:space="preserve">  Decor / Branding</t>
        </is>
      </c>
      <c r="B35" s="55" t="n">
        <v>3500</v>
      </c>
      <c r="C35" s="62">
        <f>B35*(1+$B$5)</f>
        <v/>
      </c>
      <c r="D35" s="62">
        <f>C35*(1+$B$5)</f>
        <v/>
      </c>
      <c r="E35" s="62">
        <f>D35*(1+$B$5)</f>
        <v/>
      </c>
      <c r="F35" s="62">
        <f>E35*(1+$B$5)</f>
        <v/>
      </c>
      <c r="G35" s="62">
        <f>F35*(1+$B$5)</f>
        <v/>
      </c>
      <c r="H35" s="62">
        <f>G35*(1+$B$5)</f>
        <v/>
      </c>
      <c r="I35" s="62">
        <f>H35*(1+$B$5)</f>
        <v/>
      </c>
      <c r="J35" s="62">
        <f>I35*(1+$B$5)</f>
        <v/>
      </c>
      <c r="K35" s="62">
        <f>J35*(1+$B$5)</f>
        <v/>
      </c>
    </row>
    <row r="36" ht="15" customHeight="1" s="19">
      <c r="A36" s="54" t="inlineStr">
        <is>
          <t xml:space="preserve">  Photo / Video</t>
        </is>
      </c>
      <c r="B36" s="55" t="n">
        <v>5000</v>
      </c>
      <c r="C36" s="62">
        <f>B36*(1+$B$5)</f>
        <v/>
      </c>
      <c r="D36" s="62">
        <f>C36*(1+$B$5)</f>
        <v/>
      </c>
      <c r="E36" s="62">
        <f>D36*(1+$B$5)</f>
        <v/>
      </c>
      <c r="F36" s="62">
        <f>E36*(1+$B$5)</f>
        <v/>
      </c>
      <c r="G36" s="62">
        <f>F36*(1+$B$5)</f>
        <v/>
      </c>
      <c r="H36" s="62">
        <f>G36*(1+$B$5)</f>
        <v/>
      </c>
      <c r="I36" s="62">
        <f>H36*(1+$B$5)</f>
        <v/>
      </c>
      <c r="J36" s="62">
        <f>I36*(1+$B$5)</f>
        <v/>
      </c>
      <c r="K36" s="62">
        <f>J36*(1+$B$5)</f>
        <v/>
      </c>
    </row>
    <row r="37" ht="15" customHeight="1" s="19">
      <c r="A37" s="54" t="inlineStr">
        <is>
          <t xml:space="preserve">  Marketing / Print</t>
        </is>
      </c>
      <c r="B37" s="55" t="n">
        <v>2000</v>
      </c>
      <c r="C37" s="62">
        <f>B37*(1+$B$5)</f>
        <v/>
      </c>
      <c r="D37" s="62">
        <f>C37*(1+$B$5)</f>
        <v/>
      </c>
      <c r="E37" s="62">
        <f>D37*(1+$B$5)</f>
        <v/>
      </c>
      <c r="F37" s="62">
        <f>E37*(1+$B$5)</f>
        <v/>
      </c>
      <c r="G37" s="62">
        <f>F37*(1+$B$5)</f>
        <v/>
      </c>
      <c r="H37" s="62">
        <f>G37*(1+$B$5)</f>
        <v/>
      </c>
      <c r="I37" s="62">
        <f>H37*(1+$B$5)</f>
        <v/>
      </c>
      <c r="J37" s="62">
        <f>I37*(1+$B$5)</f>
        <v/>
      </c>
      <c r="K37" s="62">
        <f>J37*(1+$B$5)</f>
        <v/>
      </c>
    </row>
    <row r="38" ht="15" customHeight="1" s="19">
      <c r="A38" s="54" t="inlineStr">
        <is>
          <t xml:space="preserve">  Operating Partner</t>
        </is>
      </c>
      <c r="B38" s="55" t="n">
        <v>6000</v>
      </c>
      <c r="C38" s="62">
        <f>B38*(1+$B$5)</f>
        <v/>
      </c>
      <c r="D38" s="62">
        <f>C38*(1+$B$5)</f>
        <v/>
      </c>
      <c r="E38" s="62">
        <f>D38*(1+$B$5)</f>
        <v/>
      </c>
      <c r="F38" s="62">
        <f>E38*(1+$B$5)</f>
        <v/>
      </c>
      <c r="G38" s="62">
        <f>F38*(1+$B$5)</f>
        <v/>
      </c>
      <c r="H38" s="62">
        <f>G38*(1+$B$5)</f>
        <v/>
      </c>
      <c r="I38" s="62">
        <f>H38*(1+$B$5)</f>
        <v/>
      </c>
      <c r="J38" s="62">
        <f>I38*(1+$B$5)</f>
        <v/>
      </c>
      <c r="K38" s="62">
        <f>J38*(1+$B$5)</f>
        <v/>
      </c>
    </row>
    <row r="39" ht="15" customHeight="1" s="19">
      <c r="A39" s="54" t="inlineStr">
        <is>
          <t xml:space="preserve">  Chedi Winter Garden (Friday)</t>
        </is>
      </c>
      <c r="B39" s="55" t="n">
        <v>2500</v>
      </c>
      <c r="C39" s="62">
        <f>B39*(1+$B$5)</f>
        <v/>
      </c>
      <c r="D39" s="62">
        <f>C39*(1+$B$5)</f>
        <v/>
      </c>
      <c r="E39" s="62">
        <f>D39*(1+$B$5)</f>
        <v/>
      </c>
      <c r="F39" s="62">
        <f>E39*(1+$B$5)</f>
        <v/>
      </c>
      <c r="G39" s="62">
        <f>F39*(1+$B$5)</f>
        <v/>
      </c>
      <c r="H39" s="62">
        <f>G39*(1+$B$5)</f>
        <v/>
      </c>
      <c r="I39" s="62">
        <f>H39*(1+$B$5)</f>
        <v/>
      </c>
      <c r="J39" s="62">
        <f>I39*(1+$B$5)</f>
        <v/>
      </c>
      <c r="K39" s="62">
        <f>J39*(1+$B$5)</f>
        <v/>
      </c>
    </row>
    <row r="40"/>
    <row r="41" ht="15" customHeight="1" s="19">
      <c r="A41" s="59" t="inlineStr">
        <is>
          <t>Category C Subtotal</t>
        </is>
      </c>
      <c r="B41" s="63">
        <f>B33+B34+B35+B36+B37+B38+B39</f>
        <v/>
      </c>
      <c r="C41" s="63">
        <f>C33+C34+C35+C36+C37+C38+C39</f>
        <v/>
      </c>
      <c r="D41" s="63">
        <f>D33+D34+D35+D36+D37+D38+D39</f>
        <v/>
      </c>
      <c r="E41" s="63">
        <f>E33+E34+E35+E36+E37+E38+E39</f>
        <v/>
      </c>
      <c r="F41" s="63">
        <f>F33+F34+F35+F36+F37+F38+F39</f>
        <v/>
      </c>
      <c r="G41" s="63">
        <f>G33+G34+G35+G36+G37+G38+G39</f>
        <v/>
      </c>
      <c r="H41" s="63">
        <f>H33+H34+H35+H36+H37+H38+H39</f>
        <v/>
      </c>
      <c r="I41" s="63">
        <f>I33+I34+I35+I36+I37+I38+I39</f>
        <v/>
      </c>
      <c r="J41" s="63">
        <f>J33+J34+J35+J36+J37+J38+J39</f>
        <v/>
      </c>
      <c r="K41" s="63">
        <f>K33+K34+K35+K36+K37+K38+K39</f>
        <v/>
      </c>
    </row>
    <row r="42"/>
    <row r="43" ht="15" customHeight="1" s="19">
      <c r="A43" s="53" t="inlineStr">
        <is>
          <t>DIRECT COST TOTALS</t>
        </is>
      </c>
      <c r="B43" s="53" t="n"/>
      <c r="C43" s="53" t="n"/>
      <c r="D43" s="53" t="n"/>
      <c r="E43" s="53" t="n"/>
      <c r="F43" s="53" t="n"/>
      <c r="G43" s="53" t="n"/>
      <c r="H43" s="53" t="n"/>
      <c r="I43" s="53" t="n"/>
      <c r="J43" s="53" t="n"/>
      <c r="K43" s="53" t="n"/>
    </row>
    <row r="44" ht="15" customHeight="1" s="19">
      <c r="A44" s="60" t="n"/>
      <c r="B44" s="61" t="n">
        <v>2027</v>
      </c>
      <c r="C44" s="61" t="n">
        <v>2028</v>
      </c>
      <c r="D44" s="61" t="n">
        <v>2029</v>
      </c>
      <c r="E44" s="61" t="n">
        <v>2030</v>
      </c>
      <c r="F44" s="61" t="n">
        <v>2031</v>
      </c>
      <c r="G44" s="61" t="n">
        <v>2032</v>
      </c>
      <c r="H44" s="61" t="n">
        <v>2033</v>
      </c>
      <c r="I44" s="61" t="n">
        <v>2034</v>
      </c>
      <c r="J44" s="61" t="n">
        <v>2035</v>
      </c>
      <c r="K44" s="61" t="n">
        <v>2036</v>
      </c>
    </row>
    <row r="45" ht="15" customHeight="1" s="19">
      <c r="A45" s="54" t="inlineStr">
        <is>
          <t>Direct Cost Subtotal (A+B+C)</t>
        </is>
      </c>
      <c r="B45" s="62">
        <f>B22+B29+B41</f>
        <v/>
      </c>
      <c r="C45" s="62">
        <f>C22+C29+C41</f>
        <v/>
      </c>
      <c r="D45" s="62">
        <f>D22+D29+D41</f>
        <v/>
      </c>
      <c r="E45" s="62">
        <f>E22+E29+E41</f>
        <v/>
      </c>
      <c r="F45" s="62">
        <f>F22+F29+F41</f>
        <v/>
      </c>
      <c r="G45" s="62">
        <f>G22+G29+G41</f>
        <v/>
      </c>
      <c r="H45" s="62">
        <f>H22+H29+H41</f>
        <v/>
      </c>
      <c r="I45" s="62">
        <f>I22+I29+I41</f>
        <v/>
      </c>
      <c r="J45" s="62">
        <f>J22+J29+J41</f>
        <v/>
      </c>
      <c r="K45" s="62">
        <f>K22+K29+K41</f>
        <v/>
      </c>
    </row>
    <row r="46" ht="15" customHeight="1" s="19">
      <c r="A46" s="54" t="inlineStr">
        <is>
          <t>Contingency</t>
        </is>
      </c>
      <c r="B46" s="62">
        <f>B45*$B$6</f>
        <v/>
      </c>
      <c r="C46" s="62">
        <f>C45*$B$6</f>
        <v/>
      </c>
      <c r="D46" s="62">
        <f>D45*$B$6</f>
        <v/>
      </c>
      <c r="E46" s="62">
        <f>E45*$B$6</f>
        <v/>
      </c>
      <c r="F46" s="62">
        <f>F45*$B$6</f>
        <v/>
      </c>
      <c r="G46" s="62">
        <f>G45*$B$6</f>
        <v/>
      </c>
      <c r="H46" s="62">
        <f>H45*$B$6</f>
        <v/>
      </c>
      <c r="I46" s="62">
        <f>I45*$B$6</f>
        <v/>
      </c>
      <c r="J46" s="62">
        <f>J45*$B$6</f>
        <v/>
      </c>
      <c r="K46" s="62">
        <f>K45*$B$6</f>
        <v/>
      </c>
    </row>
    <row r="47" ht="15" customHeight="1" s="19">
      <c r="A47" s="59" t="inlineStr">
        <is>
          <t>TOTAL WINTER DIRECT COST</t>
        </is>
      </c>
      <c r="B47" s="63">
        <f>B45+B46</f>
        <v/>
      </c>
      <c r="C47" s="63">
        <f>C45+C46</f>
        <v/>
      </c>
      <c r="D47" s="63">
        <f>D45+D46</f>
        <v/>
      </c>
      <c r="E47" s="63">
        <f>E45+E46</f>
        <v/>
      </c>
      <c r="F47" s="63">
        <f>F45+F46</f>
        <v/>
      </c>
      <c r="G47" s="63">
        <f>G45+G46</f>
        <v/>
      </c>
      <c r="H47" s="63">
        <f>H45+H46</f>
        <v/>
      </c>
      <c r="I47" s="63">
        <f>I45+I46</f>
        <v/>
      </c>
      <c r="J47" s="63">
        <f>J45+J46</f>
        <v/>
      </c>
      <c r="K47" s="63">
        <f>K45+K46</f>
        <v/>
      </c>
    </row>
    <row r="48" ht="15" customHeight="1" s="19">
      <c r="A48" s="54" t="inlineStr">
        <is>
          <t>Summer Cost</t>
        </is>
      </c>
      <c r="B48" s="62">
        <f>IF(2027&gt;=Revenue!$B$13,B47*Revenue!$B$12,0)</f>
        <v/>
      </c>
      <c r="C48" s="62">
        <f>IF(2028&gt;=Revenue!$B$13,C47*Revenue!$B$12,0)</f>
        <v/>
      </c>
      <c r="D48" s="62">
        <f>IF(2029&gt;=Revenue!$B$13,D47*Revenue!$B$12,0)</f>
        <v/>
      </c>
      <c r="E48" s="62">
        <f>IF(2030&gt;=Revenue!$B$13,E47*Revenue!$B$12,0)</f>
        <v/>
      </c>
      <c r="F48" s="62">
        <f>IF(2031&gt;=Revenue!$B$13,F47*Revenue!$B$12,0)</f>
        <v/>
      </c>
      <c r="G48" s="62">
        <f>IF(2032&gt;=Revenue!$B$13,G47*Revenue!$B$12,0)</f>
        <v/>
      </c>
      <c r="H48" s="62">
        <f>IF(2033&gt;=Revenue!$B$13,H47*Revenue!$B$12,0)</f>
        <v/>
      </c>
      <c r="I48" s="62">
        <f>IF(2034&gt;=Revenue!$B$13,I47*Revenue!$B$12,0)</f>
        <v/>
      </c>
      <c r="J48" s="62">
        <f>IF(2035&gt;=Revenue!$B$13,J47*Revenue!$B$12,0)</f>
        <v/>
      </c>
      <c r="K48" s="62">
        <f>IF(2036&gt;=Revenue!$B$13,K47*Revenue!$B$12,0)</f>
        <v/>
      </c>
    </row>
    <row r="49" ht="15" customHeight="1" s="19">
      <c r="A49" s="59" t="inlineStr">
        <is>
          <t>TOTAL ANNUAL DIRECT COST</t>
        </is>
      </c>
      <c r="B49" s="63">
        <f>B47+B48</f>
        <v/>
      </c>
      <c r="C49" s="63">
        <f>C47+C48</f>
        <v/>
      </c>
      <c r="D49" s="63">
        <f>D47+D48</f>
        <v/>
      </c>
      <c r="E49" s="63">
        <f>E47+E48</f>
        <v/>
      </c>
      <c r="F49" s="63">
        <f>F47+F48</f>
        <v/>
      </c>
      <c r="G49" s="63">
        <f>G47+G48</f>
        <v/>
      </c>
      <c r="H49" s="63">
        <f>H47+H48</f>
        <v/>
      </c>
      <c r="I49" s="63">
        <f>I47+I48</f>
        <v/>
      </c>
      <c r="J49" s="63">
        <f>J47+J48</f>
        <v/>
      </c>
      <c r="K49" s="63">
        <f>K47+K48</f>
        <v/>
      </c>
    </row>
    <row r="50"/>
    <row r="51" ht="15" customHeight="1" s="19">
      <c r="A51" s="53" t="inlineStr">
        <is>
          <t>OVERHEAD &amp; FOUNDER PAY</t>
        </is>
      </c>
      <c r="B51" s="53" t="n"/>
      <c r="C51" s="53" t="n"/>
      <c r="D51" s="53" t="n"/>
      <c r="E51" s="53" t="n"/>
      <c r="F51" s="53" t="n"/>
      <c r="G51" s="53" t="n"/>
      <c r="H51" s="53" t="n"/>
      <c r="I51" s="53" t="n"/>
      <c r="J51" s="53" t="n"/>
      <c r="K51" s="53" t="n"/>
    </row>
    <row r="52" ht="15" customHeight="1" s="19">
      <c r="A52" s="60" t="n"/>
      <c r="B52" s="61" t="n">
        <v>2027</v>
      </c>
      <c r="C52" s="61" t="n">
        <v>2028</v>
      </c>
      <c r="D52" s="61" t="n">
        <v>2029</v>
      </c>
      <c r="E52" s="61" t="n">
        <v>2030</v>
      </c>
      <c r="F52" s="61" t="n">
        <v>2031</v>
      </c>
      <c r="G52" s="61" t="n">
        <v>2032</v>
      </c>
      <c r="H52" s="61" t="n">
        <v>2033</v>
      </c>
      <c r="I52" s="61" t="n">
        <v>2034</v>
      </c>
      <c r="J52" s="61" t="n">
        <v>2035</v>
      </c>
      <c r="K52" s="61" t="n">
        <v>2036</v>
      </c>
    </row>
    <row r="53" ht="15" customHeight="1" s="19">
      <c r="A53" s="54" t="inlineStr">
        <is>
          <t>Overhead (manual input)</t>
        </is>
      </c>
      <c r="B53" s="55" t="n">
        <v>8000</v>
      </c>
      <c r="C53" s="55" t="n">
        <v>8000</v>
      </c>
      <c r="D53" s="55" t="n">
        <v>8000</v>
      </c>
      <c r="E53" s="55" t="n">
        <v>39000</v>
      </c>
      <c r="F53" s="55" t="n">
        <v>39000</v>
      </c>
      <c r="G53" s="55" t="n">
        <v>39000</v>
      </c>
      <c r="H53" s="55" t="n">
        <v>55000</v>
      </c>
      <c r="I53" s="55" t="n">
        <v>56000</v>
      </c>
      <c r="J53" s="55" t="n">
        <v>58000</v>
      </c>
      <c r="K53" s="55" t="n">
        <v>60000</v>
      </c>
    </row>
    <row r="54" ht="15" customHeight="1" s="19">
      <c r="A54" s="65" t="inlineStr">
        <is>
          <t xml:space="preserve">  Overhead jumps when new hires are added (part-time producer in 2030, additional staff in 2033). Cannot be modeled with a growth rate.</t>
        </is>
      </c>
    </row>
    <row r="55" ht="15" customHeight="1" s="19">
      <c r="A55" s="54" t="inlineStr">
        <is>
          <t>Founder Pay (2027-2031: manual / 2032+: auto +4%/yr)</t>
        </is>
      </c>
      <c r="B55" s="55" t="n">
        <v>10000</v>
      </c>
      <c r="C55" s="55" t="n">
        <v>20000</v>
      </c>
      <c r="D55" s="55" t="n">
        <v>30000</v>
      </c>
      <c r="E55" s="55" t="n">
        <v>50000</v>
      </c>
      <c r="F55" s="55" t="n">
        <v>70000</v>
      </c>
      <c r="G55" s="62">
        <f>F55*1.04</f>
        <v/>
      </c>
      <c r="H55" s="62">
        <f>G55*1.04</f>
        <v/>
      </c>
      <c r="I55" s="62">
        <f>H55*1.04</f>
        <v/>
      </c>
      <c r="J55" s="62">
        <f>I55*1.04</f>
        <v/>
      </c>
      <c r="K55" s="62">
        <f>J55*1.04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2026-10-01T15:50:55Z</dcterms:created>
  <dcterms:modified xsi:type="dcterms:W3CDTF">2026-10-01T16:50:41Z</dcterms:modified>
  <cp:revision>1</cp:revision>
</cp:coreProperties>
</file>
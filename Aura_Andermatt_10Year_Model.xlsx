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0" fontId="13" fillId="5" borderId="0" applyAlignment="1" pivotButton="0" quotePrefix="0" xfId="0">
      <alignment horizontal="general" vertical="bottom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4" fillId="0" borderId="0" pivotButton="0" quotePrefix="0" xfId="0"/>
    <xf numFmtId="1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0" fontId="18" fillId="0" borderId="0" pivotButton="0" quotePrefix="0" xfId="0"/>
    <xf numFmtId="3" fontId="14" fillId="0" borderId="1" applyAlignment="1" pivotButton="0" quotePrefix="0" xfId="0">
      <alignment horizontal="general" vertical="bottom"/>
    </xf>
    <xf numFmtId="0" fontId="14" fillId="4" borderId="0" applyProtection="1" pivotButton="0" quotePrefix="0" xfId="0">
      <protection locked="0" hidden="0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6" fillId="0" borderId="0" pivotButton="0" quotePrefix="0" xfId="0"/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  <author>Model Note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A17" authorId="1" shapeId="0">
      <text>
        <t>BP shows 'Bar/F&amp;B (net) = 9,000 CHF' as revenue, but per Rox confirmation, Aura receives no share of bar/food sales. This 9,000 is a deposit-style credit: guests are expected to spend more than 9,000 at the venue, so the excess offsets venue costs. It is correctly recorded here as a cost reduction, not as revenue.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36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7" t="n">
        <v>280</v>
      </c>
    </row>
    <row r="5" ht="15" customHeight="1" s="20">
      <c r="A5" s="24" t="inlineStr">
        <is>
          <t>Total Ticket Count</t>
        </is>
      </c>
      <c r="B5" s="37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8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7" t="n">
        <v>210</v>
      </c>
    </row>
    <row r="23" ht="15" customHeight="1" s="20">
      <c r="A23" s="24" t="inlineStr">
        <is>
          <t xml:space="preserve">  Drop 2 Unit Price</t>
        </is>
      </c>
      <c r="B23" s="37" t="n">
        <v>250</v>
      </c>
    </row>
    <row r="24" ht="15" customHeight="1" s="20">
      <c r="A24" s="24" t="inlineStr">
        <is>
          <t xml:space="preserve">  Drop 3 Unit Price</t>
        </is>
      </c>
      <c r="B24" s="37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7" t="n">
        <v>0</v>
      </c>
      <c r="C44" s="37" t="n">
        <v>50000</v>
      </c>
      <c r="D44" s="37" t="n">
        <v>50000</v>
      </c>
      <c r="E44" s="37" t="n">
        <v>50000</v>
      </c>
      <c r="F44" s="37" t="n">
        <v>50000</v>
      </c>
    </row>
    <row r="45" ht="15" customHeight="1" s="20">
      <c r="A45" s="24" t="inlineStr">
        <is>
          <t xml:space="preserve">  Presenting Partner — Count</t>
        </is>
      </c>
      <c r="B45" s="37" t="n">
        <v>0</v>
      </c>
      <c r="C45" s="37" t="n">
        <v>1</v>
      </c>
      <c r="D45" s="37" t="n">
        <v>1</v>
      </c>
      <c r="E45" s="37" t="n">
        <v>1</v>
      </c>
      <c r="F45" s="37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7" t="n">
        <v>15000</v>
      </c>
      <c r="C48" s="37" t="n">
        <v>0</v>
      </c>
      <c r="D48" s="37" t="n">
        <v>15000</v>
      </c>
      <c r="E48" s="37" t="n">
        <v>15000</v>
      </c>
      <c r="F48" s="37" t="n">
        <v>15000</v>
      </c>
    </row>
    <row r="49" ht="15" customHeight="1" s="20">
      <c r="A49" s="24" t="inlineStr">
        <is>
          <t xml:space="preserve">  Partner — Count</t>
        </is>
      </c>
      <c r="B49" s="37" t="n">
        <v>2</v>
      </c>
      <c r="C49" s="37" t="n">
        <v>0</v>
      </c>
      <c r="D49" s="37" t="n">
        <v>1</v>
      </c>
      <c r="E49" s="37" t="n">
        <v>2</v>
      </c>
      <c r="F49" s="37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7" t="n">
        <v>0</v>
      </c>
      <c r="C52" s="37" t="n">
        <v>5000</v>
      </c>
      <c r="D52" s="37" t="n">
        <v>5000</v>
      </c>
      <c r="E52" s="37" t="n">
        <v>5000</v>
      </c>
      <c r="F52" s="37" t="n">
        <v>5000</v>
      </c>
    </row>
    <row r="53" ht="15" customHeight="1" s="20">
      <c r="A53" s="24" t="inlineStr">
        <is>
          <t xml:space="preserve">  Supporting Partner — Count</t>
        </is>
      </c>
      <c r="B53" s="37" t="n">
        <v>0</v>
      </c>
      <c r="C53" s="37" t="n">
        <v>1</v>
      </c>
      <c r="D53" s="37" t="n">
        <v>2</v>
      </c>
      <c r="E53" s="37" t="n">
        <v>3</v>
      </c>
      <c r="F53" s="37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7" t="n">
        <v>10000</v>
      </c>
      <c r="C61" s="37" t="n">
        <v>12500</v>
      </c>
      <c r="D61" s="37" t="n">
        <v>15000</v>
      </c>
      <c r="E61" s="37" t="n">
        <v>20000</v>
      </c>
      <c r="F61" s="37" t="n">
        <v>25000</v>
      </c>
      <c r="G61" s="37" t="n">
        <v>30000</v>
      </c>
      <c r="H61" s="37" t="n">
        <v>30000</v>
      </c>
      <c r="I61" s="37" t="n">
        <v>35000</v>
      </c>
      <c r="J61" s="37" t="n">
        <v>40000</v>
      </c>
      <c r="K61" s="37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39" t="inlineStr">
        <is>
          <t>SECTION 4: BAR / F&amp;B REVENUE</t>
        </is>
      </c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</row>
    <row r="65" ht="15" customHeight="1" s="20">
      <c r="A65" s="41" t="inlineStr">
        <is>
          <t xml:space="preserve">  Share rates are currently set to 0%. Aura does not take a share of bar/food revenue. If a share agreement is negotiated, change the share rate.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</row>
    <row r="67" ht="15" customHeight="1" s="20">
      <c r="A67" s="40" t="n"/>
      <c r="B67" s="43" t="n">
        <v>2027</v>
      </c>
      <c r="C67" s="43" t="n">
        <v>2028</v>
      </c>
      <c r="D67" s="43" t="n">
        <v>2029</v>
      </c>
      <c r="E67" s="43" t="n">
        <v>2030</v>
      </c>
      <c r="F67" s="43" t="n">
        <v>2031</v>
      </c>
      <c r="G67" s="43" t="n">
        <v>2032</v>
      </c>
      <c r="H67" s="43" t="n">
        <v>2033</v>
      </c>
      <c r="I67" s="43" t="n">
        <v>2034</v>
      </c>
      <c r="J67" s="43" t="n">
        <v>2035</v>
      </c>
      <c r="K67" s="43" t="n">
        <v>2036</v>
      </c>
    </row>
    <row r="68" ht="15" customHeight="1" s="20">
      <c r="A68" s="44" t="inlineStr">
        <is>
          <t xml:space="preserve">  Friday Night: Coffee + Drinks — Guest Count</t>
        </is>
      </c>
      <c r="B68" s="45" t="n">
        <v>150</v>
      </c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</row>
    <row r="69" ht="15" customHeight="1" s="20">
      <c r="A69" s="44" t="inlineStr">
        <is>
          <t xml:space="preserve">  Friday Night: Coffee + Drinks — Per-person Spend</t>
        </is>
      </c>
      <c r="B69" s="45" t="n">
        <v>50</v>
      </c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</row>
    <row r="70" ht="15" customHeight="1" s="20">
      <c r="A70" s="44" t="inlineStr">
        <is>
          <t xml:space="preserve">  Friday Night: Coffee + Drinks — Share Rate</t>
        </is>
      </c>
      <c r="B70" s="46" t="n">
        <v>0</v>
      </c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</row>
    <row r="71" ht="15" customHeight="1" s="20">
      <c r="A71" s="44" t="inlineStr">
        <is>
          <t xml:space="preserve">  Friday Night: Coffee + Drinks — Est. Total Sales (reference)</t>
        </is>
      </c>
      <c r="B71" s="47">
        <f>B68*B69</f>
        <v/>
      </c>
      <c r="C71" s="47">
        <f>B71*(1+$B$9)</f>
        <v/>
      </c>
      <c r="D71" s="47">
        <f>C71*(1+$B$9)</f>
        <v/>
      </c>
      <c r="E71" s="47">
        <f>D71*(1+$B$9)</f>
        <v/>
      </c>
      <c r="F71" s="47">
        <f>E71*(1+$B$9)</f>
        <v/>
      </c>
      <c r="G71" s="47">
        <f>F71*(1+$B$9)</f>
        <v/>
      </c>
      <c r="H71" s="47">
        <f>G71*(1+$B$9)</f>
        <v/>
      </c>
      <c r="I71" s="47">
        <f>H71*(1+$B$9)</f>
        <v/>
      </c>
      <c r="J71" s="47">
        <f>I71*(1+$B$9)</f>
        <v/>
      </c>
      <c r="K71" s="47">
        <f>J71*(1+$B$9)</f>
        <v/>
      </c>
    </row>
    <row r="72" ht="15" customHeight="1" s="20">
      <c r="A72" s="44" t="inlineStr">
        <is>
          <t xml:space="preserve">  Friday Night: Coffee + Drinks — Aura Revenue</t>
        </is>
      </c>
      <c r="B72" s="47">
        <f>B71*$B70</f>
        <v/>
      </c>
      <c r="C72" s="47">
        <f>C71*$B70</f>
        <v/>
      </c>
      <c r="D72" s="47">
        <f>D71*$B70</f>
        <v/>
      </c>
      <c r="E72" s="47">
        <f>E71*$B70</f>
        <v/>
      </c>
      <c r="F72" s="47">
        <f>F71*$B70</f>
        <v/>
      </c>
      <c r="G72" s="47">
        <f>G71*$B70</f>
        <v/>
      </c>
      <c r="H72" s="47">
        <f>H71*$B70</f>
        <v/>
      </c>
      <c r="I72" s="47">
        <f>I71*$B70</f>
        <v/>
      </c>
      <c r="J72" s="47">
        <f>J71*$B70</f>
        <v/>
      </c>
      <c r="K72" s="47">
        <f>K71*$B70</f>
        <v/>
      </c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</row>
    <row r="74" ht="15" customHeight="1" s="20">
      <c r="A74" s="44" t="inlineStr">
        <is>
          <t xml:space="preserve">  Saturday Day: Drinks — Guest Count</t>
        </is>
      </c>
      <c r="B74" s="45" t="n">
        <v>280</v>
      </c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</row>
    <row r="75" ht="15" customHeight="1" s="20">
      <c r="A75" s="44" t="inlineStr">
        <is>
          <t xml:space="preserve">  Saturday Day: Drinks — Per-person Spend</t>
        </is>
      </c>
      <c r="B75" s="45" t="n">
        <v>20</v>
      </c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</row>
    <row r="76" ht="15" customHeight="1" s="20">
      <c r="A76" s="44" t="inlineStr">
        <is>
          <t xml:space="preserve">  Saturday Day: Drinks — Share Rate</t>
        </is>
      </c>
      <c r="B76" s="46" t="n">
        <v>0</v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</row>
    <row r="77" ht="15" customHeight="1" s="20">
      <c r="A77" s="44" t="inlineStr">
        <is>
          <t xml:space="preserve">  Saturday Day: Drinks — Est. Total Sales (reference)</t>
        </is>
      </c>
      <c r="B77" s="47">
        <f>B74*B75</f>
        <v/>
      </c>
      <c r="C77" s="47">
        <f>B77*(1+$B$9)</f>
        <v/>
      </c>
      <c r="D77" s="47">
        <f>C77*(1+$B$9)</f>
        <v/>
      </c>
      <c r="E77" s="47">
        <f>D77*(1+$B$9)</f>
        <v/>
      </c>
      <c r="F77" s="47">
        <f>E77*(1+$B$9)</f>
        <v/>
      </c>
      <c r="G77" s="47">
        <f>F77*(1+$B$9)</f>
        <v/>
      </c>
      <c r="H77" s="47">
        <f>G77*(1+$B$9)</f>
        <v/>
      </c>
      <c r="I77" s="47">
        <f>H77*(1+$B$9)</f>
        <v/>
      </c>
      <c r="J77" s="47">
        <f>I77*(1+$B$9)</f>
        <v/>
      </c>
      <c r="K77" s="47">
        <f>J77*(1+$B$9)</f>
        <v/>
      </c>
    </row>
    <row r="78" ht="15" customHeight="1" s="20">
      <c r="A78" s="44" t="inlineStr">
        <is>
          <t xml:space="preserve">  Saturday Day: Drinks — Aura Revenue</t>
        </is>
      </c>
      <c r="B78" s="47">
        <f>B77*$B76</f>
        <v/>
      </c>
      <c r="C78" s="47">
        <f>C77*$B76</f>
        <v/>
      </c>
      <c r="D78" s="47">
        <f>D77*$B76</f>
        <v/>
      </c>
      <c r="E78" s="47">
        <f>E77*$B76</f>
        <v/>
      </c>
      <c r="F78" s="47">
        <f>F77*$B76</f>
        <v/>
      </c>
      <c r="G78" s="47">
        <f>G77*$B76</f>
        <v/>
      </c>
      <c r="H78" s="47">
        <f>H77*$B76</f>
        <v/>
      </c>
      <c r="I78" s="47">
        <f>I77*$B76</f>
        <v/>
      </c>
      <c r="J78" s="47">
        <f>J77*$B76</f>
        <v/>
      </c>
      <c r="K78" s="47">
        <f>K77*$B76</f>
        <v/>
      </c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</row>
    <row r="80" ht="15" customHeight="1" s="20">
      <c r="A80" s="44" t="inlineStr">
        <is>
          <t xml:space="preserve">  Saturday Day: Food — Guest Count</t>
        </is>
      </c>
      <c r="B80" s="45" t="n">
        <v>280</v>
      </c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</row>
    <row r="81" ht="15" customHeight="1" s="20">
      <c r="A81" s="44" t="inlineStr">
        <is>
          <t xml:space="preserve">  Saturday Day: Food — Per-person Spend</t>
        </is>
      </c>
      <c r="B81" s="45" t="n">
        <v>50</v>
      </c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</row>
    <row r="82" ht="15" customHeight="1" s="20">
      <c r="A82" s="44" t="inlineStr">
        <is>
          <t xml:space="preserve">  Saturday Day: Food — Share Rate</t>
        </is>
      </c>
      <c r="B82" s="46" t="n">
        <v>0</v>
      </c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</row>
    <row r="83" ht="15" customHeight="1" s="20">
      <c r="A83" s="44" t="inlineStr">
        <is>
          <t xml:space="preserve">  Saturday Day: Food — Est. Total Sales (reference)</t>
        </is>
      </c>
      <c r="B83" s="47">
        <f>B80*B81</f>
        <v/>
      </c>
      <c r="C83" s="47">
        <f>B83*(1+$B$9)</f>
        <v/>
      </c>
      <c r="D83" s="47">
        <f>C83*(1+$B$9)</f>
        <v/>
      </c>
      <c r="E83" s="47">
        <f>D83*(1+$B$9)</f>
        <v/>
      </c>
      <c r="F83" s="47">
        <f>E83*(1+$B$9)</f>
        <v/>
      </c>
      <c r="G83" s="47">
        <f>F83*(1+$B$9)</f>
        <v/>
      </c>
      <c r="H83" s="47">
        <f>G83*(1+$B$9)</f>
        <v/>
      </c>
      <c r="I83" s="47">
        <f>H83*(1+$B$9)</f>
        <v/>
      </c>
      <c r="J83" s="47">
        <f>I83*(1+$B$9)</f>
        <v/>
      </c>
      <c r="K83" s="47">
        <f>J83*(1+$B$9)</f>
        <v/>
      </c>
    </row>
    <row r="84">
      <c r="A84" s="48" t="inlineStr">
        <is>
          <t xml:space="preserve">  Saturday Day: Food — Aura Revenue</t>
        </is>
      </c>
      <c r="B84" s="42">
        <f>B83*$B82</f>
        <v/>
      </c>
      <c r="C84" s="42">
        <f>C83*$B82</f>
        <v/>
      </c>
      <c r="D84" s="42">
        <f>D83*$B82</f>
        <v/>
      </c>
      <c r="E84" s="42">
        <f>E83*$B82</f>
        <v/>
      </c>
      <c r="F84" s="42">
        <f>F83*$B82</f>
        <v/>
      </c>
      <c r="G84" s="42">
        <f>G83*$B82</f>
        <v/>
      </c>
      <c r="H84" s="42">
        <f>H83*$B82</f>
        <v/>
      </c>
      <c r="I84" s="42">
        <f>I83*$B82</f>
        <v/>
      </c>
      <c r="J84" s="42">
        <f>J83*$B82</f>
        <v/>
      </c>
      <c r="K84" s="42">
        <f>K83*$B82</f>
        <v/>
      </c>
    </row>
    <row r="85" ht="15" customHeight="1" s="20">
      <c r="A85" s="40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</row>
    <row r="86">
      <c r="A86" s="48" t="inlineStr">
        <is>
          <t xml:space="preserve">  Saturday Night: Drinks — Guest Count</t>
        </is>
      </c>
      <c r="B86" s="50" t="n">
        <v>150</v>
      </c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</row>
    <row r="87" ht="15" customHeight="1" s="20">
      <c r="A87" s="44" t="inlineStr">
        <is>
          <t xml:space="preserve">  Saturday Night: Drinks — Per-person Spend</t>
        </is>
      </c>
      <c r="B87" s="51" t="n">
        <v>50</v>
      </c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</row>
    <row r="88" ht="15" customHeight="1" s="20">
      <c r="A88" s="44" t="inlineStr">
        <is>
          <t xml:space="preserve">  Saturday Night: Drinks — Share Rate</t>
        </is>
      </c>
      <c r="B88" s="52" t="n">
        <v>0</v>
      </c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</row>
    <row r="89" ht="15" customHeight="1" s="20">
      <c r="A89" s="44" t="inlineStr">
        <is>
          <t xml:space="preserve">  Saturday Night: Drinks — Est. Total Sales (reference)</t>
        </is>
      </c>
      <c r="B89" s="47">
        <f>B86*B87</f>
        <v/>
      </c>
      <c r="C89" s="47">
        <f>B89*(1+$B$9)</f>
        <v/>
      </c>
      <c r="D89" s="47">
        <f>C89*(1+$B$9)</f>
        <v/>
      </c>
      <c r="E89" s="47">
        <f>D89*(1+$B$9)</f>
        <v/>
      </c>
      <c r="F89" s="47">
        <f>E89*(1+$B$9)</f>
        <v/>
      </c>
      <c r="G89" s="47">
        <f>F89*(1+$B$9)</f>
        <v/>
      </c>
      <c r="H89" s="47">
        <f>G89*(1+$B$9)</f>
        <v/>
      </c>
      <c r="I89" s="47">
        <f>H89*(1+$B$9)</f>
        <v/>
      </c>
      <c r="J89" s="47">
        <f>I89*(1+$B$9)</f>
        <v/>
      </c>
      <c r="K89" s="47">
        <f>J89*(1+$B$9)</f>
        <v/>
      </c>
    </row>
    <row r="90" ht="15" customHeight="1" s="20">
      <c r="A90" s="44" t="inlineStr">
        <is>
          <t xml:space="preserve">  Saturday Night: Drinks — Aura Revenue</t>
        </is>
      </c>
      <c r="B90" s="42">
        <f>B89*$B88</f>
        <v/>
      </c>
      <c r="C90" s="42">
        <f>C89*$B88</f>
        <v/>
      </c>
      <c r="D90" s="42">
        <f>D89*$B88</f>
        <v/>
      </c>
      <c r="E90" s="42">
        <f>E89*$B88</f>
        <v/>
      </c>
      <c r="F90" s="42">
        <f>F89*$B88</f>
        <v/>
      </c>
      <c r="G90" s="42">
        <f>G89*$B88</f>
        <v/>
      </c>
      <c r="H90" s="42">
        <f>H89*$B88</f>
        <v/>
      </c>
      <c r="I90" s="42">
        <f>I89*$B88</f>
        <v/>
      </c>
      <c r="J90" s="42">
        <f>J89*$B88</f>
        <v/>
      </c>
      <c r="K90" s="42">
        <f>K89*$B88</f>
        <v/>
      </c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</row>
    <row r="92" ht="15" customHeight="1" s="20">
      <c r="A92" s="44" t="inlineStr">
        <is>
          <t xml:space="preserve">  Sunday Coffee — Guest Count</t>
        </is>
      </c>
      <c r="B92" s="51" t="n">
        <v>80</v>
      </c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</row>
    <row r="93" ht="15" customHeight="1" s="20">
      <c r="A93" s="44" t="inlineStr">
        <is>
          <t xml:space="preserve">  Sunday Coffee — Per-person Spend</t>
        </is>
      </c>
      <c r="B93" s="52" t="n">
        <v>8</v>
      </c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</row>
    <row r="94" ht="15" customHeight="1" s="20">
      <c r="A94" s="44" t="inlineStr">
        <is>
          <t xml:space="preserve">  Sunday Coffee — Share Rate</t>
        </is>
      </c>
      <c r="B94" s="45" t="n">
        <v>0</v>
      </c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</row>
    <row r="95" ht="15" customHeight="1" s="20">
      <c r="A95" s="44" t="inlineStr">
        <is>
          <t xml:space="preserve">  Sunday Coffee — Est. Total Sales (reference)</t>
        </is>
      </c>
      <c r="B95" s="42">
        <f>B92*B93</f>
        <v/>
      </c>
      <c r="C95" s="42">
        <f>B95*(1+$B$9)</f>
        <v/>
      </c>
      <c r="D95" s="42">
        <f>C95*(1+$B$9)</f>
        <v/>
      </c>
      <c r="E95" s="42">
        <f>D95*(1+$B$9)</f>
        <v/>
      </c>
      <c r="F95" s="42">
        <f>E95*(1+$B$9)</f>
        <v/>
      </c>
      <c r="G95" s="42">
        <f>F95*(1+$B$9)</f>
        <v/>
      </c>
      <c r="H95" s="42">
        <f>G95*(1+$B$9)</f>
        <v/>
      </c>
      <c r="I95" s="42">
        <f>H95*(1+$B$9)</f>
        <v/>
      </c>
      <c r="J95" s="42">
        <f>I95*(1+$B$9)</f>
        <v/>
      </c>
      <c r="K95" s="42">
        <f>J95*(1+$B$9)</f>
        <v/>
      </c>
    </row>
    <row r="96">
      <c r="A96" s="48" t="inlineStr">
        <is>
          <t xml:space="preserve">  Sunday Coffee — Aura Revenue</t>
        </is>
      </c>
      <c r="B96" s="42">
        <f>B95*$B94</f>
        <v/>
      </c>
      <c r="C96" s="42">
        <f>C95*$B94</f>
        <v/>
      </c>
      <c r="D96" s="42">
        <f>D95*$B94</f>
        <v/>
      </c>
      <c r="E96" s="42">
        <f>E95*$B94</f>
        <v/>
      </c>
      <c r="F96" s="42">
        <f>F95*$B94</f>
        <v/>
      </c>
      <c r="G96" s="42">
        <f>G95*$B94</f>
        <v/>
      </c>
      <c r="H96" s="42">
        <f>H95*$B94</f>
        <v/>
      </c>
      <c r="I96" s="42">
        <f>I95*$B94</f>
        <v/>
      </c>
      <c r="J96" s="42">
        <f>J95*$B94</f>
        <v/>
      </c>
      <c r="K96" s="42">
        <f>K95*$B94</f>
        <v/>
      </c>
    </row>
    <row r="97" ht="15" customHeight="1" s="20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</row>
    <row r="98" ht="15" customHeight="1" s="20">
      <c r="A98" s="54" t="inlineStr">
        <is>
          <t>Bar/F&amp;B Total</t>
        </is>
      </c>
      <c r="B98" s="53">
        <f>B72+B78+B84+B90+B96</f>
        <v/>
      </c>
      <c r="C98" s="53">
        <f>C72+C78+C84+C90+C96</f>
        <v/>
      </c>
      <c r="D98" s="53">
        <f>D72+D78+D84+D90+D96</f>
        <v/>
      </c>
      <c r="E98" s="53">
        <f>E72+E78+E84+E90+E96</f>
        <v/>
      </c>
      <c r="F98" s="53">
        <f>F72+F78+F84+F90+F96</f>
        <v/>
      </c>
      <c r="G98" s="53">
        <f>G72+G78+G84+G90+G96</f>
        <v/>
      </c>
      <c r="H98" s="53">
        <f>H72+H78+H84+H90+H96</f>
        <v/>
      </c>
      <c r="I98" s="53">
        <f>I72+I78+I84+I90+I96</f>
        <v/>
      </c>
      <c r="J98" s="53">
        <f>J72+J78+J84+J90+J96</f>
        <v/>
      </c>
      <c r="K98" s="53">
        <f>K72+K78+K84+K90+K96</f>
        <v/>
      </c>
    </row>
    <row r="99" ht="15" customHeight="1" s="20">
      <c r="A99" s="40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</row>
    <row r="100" ht="15" customHeight="1" s="20">
      <c r="A100" s="39" t="inlineStr">
        <is>
          <t>SECTION 5: DINNER REVENUE</t>
        </is>
      </c>
      <c r="B100" s="47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</row>
    <row r="101" ht="15" customHeight="1" s="20">
      <c r="A101" s="40" t="n"/>
      <c r="B101" s="55" t="n">
        <v>2027</v>
      </c>
      <c r="C101" s="55" t="n">
        <v>2028</v>
      </c>
      <c r="D101" s="55" t="n">
        <v>2029</v>
      </c>
      <c r="E101" s="55" t="n">
        <v>2030</v>
      </c>
      <c r="F101" s="55" t="n">
        <v>2031</v>
      </c>
      <c r="G101" s="55" t="n">
        <v>2032</v>
      </c>
      <c r="H101" s="55" t="n">
        <v>2033</v>
      </c>
      <c r="I101" s="55" t="n">
        <v>2034</v>
      </c>
      <c r="J101" s="55" t="n">
        <v>2035</v>
      </c>
      <c r="K101" s="55" t="n">
        <v>2036</v>
      </c>
    </row>
    <row r="102">
      <c r="A102" s="48" t="inlineStr">
        <is>
          <t>Dinner Revenue (manual input)</t>
        </is>
      </c>
      <c r="B102" s="56" t="n">
        <v>0</v>
      </c>
      <c r="C102" s="56" t="n">
        <v>0</v>
      </c>
      <c r="D102" s="56" t="n">
        <v>0</v>
      </c>
      <c r="E102" s="56" t="n">
        <v>0</v>
      </c>
      <c r="F102" s="56" t="n">
        <v>0</v>
      </c>
      <c r="G102" s="56" t="n">
        <v>0</v>
      </c>
      <c r="H102" s="56" t="n">
        <v>0</v>
      </c>
      <c r="I102" s="56" t="n">
        <v>0</v>
      </c>
      <c r="J102" s="56" t="n">
        <v>0</v>
      </c>
      <c r="K102" s="56" t="n">
        <v>0</v>
      </c>
    </row>
    <row r="103">
      <c r="A103" s="57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58" t="inlineStr">
        <is>
          <t>SECTION 6: OTHER REVENUE</t>
        </is>
      </c>
    </row>
    <row r="106">
      <c r="B106" s="59" t="n">
        <v>2027</v>
      </c>
      <c r="C106" s="59" t="n">
        <v>2028</v>
      </c>
      <c r="D106" s="59" t="n">
        <v>2029</v>
      </c>
      <c r="E106" s="59" t="n">
        <v>2030</v>
      </c>
      <c r="F106" s="59" t="n">
        <v>2031</v>
      </c>
      <c r="G106" s="59" t="n">
        <v>2032</v>
      </c>
      <c r="H106" s="59" t="n">
        <v>2033</v>
      </c>
      <c r="I106" s="59" t="n">
        <v>2034</v>
      </c>
      <c r="J106" s="59" t="n">
        <v>2035</v>
      </c>
      <c r="K106" s="59" t="n">
        <v>2036</v>
      </c>
    </row>
    <row r="107">
      <c r="A107" s="48" t="inlineStr">
        <is>
          <t>Other Revenue</t>
        </is>
      </c>
      <c r="B107" s="56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57" t="inlineStr">
        <is>
          <t xml:space="preserve">  Other Revenue grows with General Inflation Rate (P&amp;L sheet). Contents: add-ons, upselling, merchandise.</t>
        </is>
      </c>
    </row>
    <row r="109"/>
    <row r="110">
      <c r="A110" s="58" t="inlineStr">
        <is>
          <t>REVENUE TOTALS</t>
        </is>
      </c>
    </row>
    <row r="111">
      <c r="B111" s="59" t="n">
        <v>2027</v>
      </c>
      <c r="C111" s="59" t="n">
        <v>2028</v>
      </c>
      <c r="D111" s="59" t="n">
        <v>2029</v>
      </c>
      <c r="E111" s="59" t="n">
        <v>2030</v>
      </c>
      <c r="F111" s="59" t="n">
        <v>2031</v>
      </c>
      <c r="G111" s="59" t="n">
        <v>2032</v>
      </c>
      <c r="H111" s="59" t="n">
        <v>2033</v>
      </c>
      <c r="I111" s="59" t="n">
        <v>2034</v>
      </c>
      <c r="J111" s="59" t="n">
        <v>2035</v>
      </c>
      <c r="K111" s="59" t="n">
        <v>2036</v>
      </c>
    </row>
    <row r="112">
      <c r="A112" s="59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59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59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7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Revenue!B98</f>
        <v/>
      </c>
      <c r="C13" s="29">
        <f>Revenue!C98</f>
        <v/>
      </c>
      <c r="D13" s="29">
        <f>Revenue!D98</f>
        <v/>
      </c>
      <c r="E13" s="29">
        <f>Revenue!E98</f>
        <v/>
      </c>
      <c r="F13" s="29">
        <f>Revenue!F98</f>
        <v/>
      </c>
      <c r="G13" s="29">
        <f>Revenue!G98</f>
        <v/>
      </c>
      <c r="H13" s="29">
        <f>Revenue!H98</f>
        <v/>
      </c>
      <c r="I13" s="29">
        <f>Revenue!I98</f>
        <v/>
      </c>
      <c r="J13" s="29">
        <f>Revenue!J98</f>
        <v/>
      </c>
      <c r="K13" s="29">
        <f>Revenue!K98</f>
        <v/>
      </c>
    </row>
    <row r="14" ht="15" customHeight="1" s="20">
      <c r="A14" s="24" t="inlineStr">
        <is>
          <t xml:space="preserve">  Dinner Revenue</t>
        </is>
      </c>
      <c r="B14" s="29">
        <f>Revenue!B102</f>
        <v/>
      </c>
      <c r="C14" s="29">
        <f>Revenue!C102</f>
        <v/>
      </c>
      <c r="D14" s="29">
        <f>Revenue!D102</f>
        <v/>
      </c>
      <c r="E14" s="29">
        <f>Revenue!E102</f>
        <v/>
      </c>
      <c r="F14" s="29">
        <f>Revenue!F102</f>
        <v/>
      </c>
      <c r="G14" s="29">
        <f>Revenue!G102</f>
        <v/>
      </c>
      <c r="H14" s="29">
        <f>Revenue!H102</f>
        <v/>
      </c>
      <c r="I14" s="29">
        <f>Revenue!I102</f>
        <v/>
      </c>
      <c r="J14" s="29">
        <f>Revenue!J102</f>
        <v/>
      </c>
      <c r="K14" s="29">
        <f>Revenue!K102</f>
        <v/>
      </c>
    </row>
    <row r="15" ht="15" customHeight="1" s="20">
      <c r="A15" s="24" t="inlineStr">
        <is>
          <t xml:space="preserve">  Other Revenue</t>
        </is>
      </c>
      <c r="B15" s="29">
        <f>Revenue!B107</f>
        <v/>
      </c>
      <c r="C15" s="29">
        <f>Revenue!C107</f>
        <v/>
      </c>
      <c r="D15" s="29">
        <f>Revenue!D107</f>
        <v/>
      </c>
      <c r="E15" s="29">
        <f>Revenue!E107</f>
        <v/>
      </c>
      <c r="F15" s="29">
        <f>Revenue!F107</f>
        <v/>
      </c>
      <c r="G15" s="29">
        <f>Revenue!G107</f>
        <v/>
      </c>
      <c r="H15" s="29">
        <f>Revenue!H107</f>
        <v/>
      </c>
      <c r="I15" s="29">
        <f>Revenue!I107</f>
        <v/>
      </c>
      <c r="J15" s="29">
        <f>Revenue!J107</f>
        <v/>
      </c>
      <c r="K15" s="29">
        <f>Revenue!K107</f>
        <v/>
      </c>
    </row>
    <row r="16"/>
    <row r="17" ht="15" customHeight="1" s="20">
      <c r="A17" s="26" t="inlineStr">
        <is>
          <t>TOTAL REVENUE</t>
        </is>
      </c>
      <c r="B17" s="31">
        <f>Revenue!B114</f>
        <v/>
      </c>
      <c r="C17" s="31">
        <f>Revenue!C114</f>
        <v/>
      </c>
      <c r="D17" s="31">
        <f>Revenue!D114</f>
        <v/>
      </c>
      <c r="E17" s="31">
        <f>Revenue!E114</f>
        <v/>
      </c>
      <c r="F17" s="31">
        <f>Revenue!F114</f>
        <v/>
      </c>
      <c r="G17" s="31">
        <f>Revenue!G114</f>
        <v/>
      </c>
      <c r="H17" s="31">
        <f>Revenue!H114</f>
        <v/>
      </c>
      <c r="I17" s="31">
        <f>Revenue!I114</f>
        <v/>
      </c>
      <c r="J17" s="31">
        <f>Revenue!J114</f>
        <v/>
      </c>
      <c r="K17" s="31">
        <f>Revenue!K114</f>
        <v/>
      </c>
    </row>
    <row r="18"/>
    <row r="19" ht="15" customHeight="1" s="20">
      <c r="A19" s="22" t="inlineStr">
        <is>
          <t>Costs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36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7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7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7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7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7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7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7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7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7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7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7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7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7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7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7" t="n">
        <v>8000</v>
      </c>
      <c r="C53" s="37" t="n">
        <v>8000</v>
      </c>
      <c r="D53" s="37" t="n">
        <v>8000</v>
      </c>
      <c r="E53" s="37" t="n">
        <v>39000</v>
      </c>
      <c r="F53" s="37" t="n">
        <v>39000</v>
      </c>
      <c r="G53" s="37" t="n">
        <v>39000</v>
      </c>
      <c r="H53" s="37" t="n">
        <v>55000</v>
      </c>
      <c r="I53" s="37" t="n">
        <v>56000</v>
      </c>
      <c r="J53" s="37" t="n">
        <v>58000</v>
      </c>
      <c r="K53" s="37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7" t="n">
        <v>10000</v>
      </c>
      <c r="C55" s="37" t="n">
        <v>20000</v>
      </c>
      <c r="D55" s="37" t="n">
        <v>30000</v>
      </c>
      <c r="E55" s="37" t="n">
        <v>50000</v>
      </c>
      <c r="F55" s="37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  <row r="56"/>
    <row r="57">
      <c r="A57" s="58" t="inlineStr">
        <is>
          <t>TOTAL COST</t>
        </is>
      </c>
      <c r="B57">
        <f>B49+B53+B55</f>
        <v/>
      </c>
      <c r="C57">
        <f>C49+C53+C55</f>
        <v/>
      </c>
      <c r="D57">
        <f>D49+D53+D55</f>
        <v/>
      </c>
      <c r="E57">
        <f>E49+E53+E55</f>
        <v/>
      </c>
      <c r="F57">
        <f>F49+F53+F55</f>
        <v/>
      </c>
      <c r="G57">
        <f>G49+G53+G55</f>
        <v/>
      </c>
      <c r="H57">
        <f>H49+H53+H55</f>
        <v/>
      </c>
      <c r="I57">
        <f>I49+I53+I55</f>
        <v/>
      </c>
      <c r="J57">
        <f>J49+J53+J55</f>
        <v/>
      </c>
      <c r="K57">
        <f>K49+K53+K55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2026-10-01T17:56:58Z</dcterms:modified>
  <cp:revision>1</cp:revision>
</cp:coreProperties>
</file>
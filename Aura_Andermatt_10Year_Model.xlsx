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Revenue" sheetId="2" state="visible" r:id="rId2"/>
    <sheet name="P&amp;L" sheetId="3" state="visible" r:id="rId3"/>
    <sheet name="Cos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666666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family val="2"/>
      <sz val="10"/>
    </font>
    <font>
      <b val="1"/>
      <color rgb="001F4E79"/>
      <sz val="11"/>
    </font>
    <font/>
    <font>
      <b val="1"/>
      <sz val="11"/>
    </font>
    <font>
      <color rgb="00666666"/>
      <sz val="9"/>
    </font>
    <font>
      <b val="1"/>
    </font>
    <font>
      <sz val="11"/>
    </font>
    <font>
      <b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" fontId="6" fillId="3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2" fontId="7" fillId="4" borderId="0" applyAlignment="1" pivotButton="0" quotePrefix="0" xfId="0">
      <alignment horizontal="general" vertical="bottom"/>
    </xf>
    <xf numFmtId="3" fontId="7" fillId="4" borderId="0" applyAlignment="1" pivotButton="0" quotePrefix="0" xfId="0">
      <alignment horizontal="general" vertical="bottom"/>
    </xf>
    <xf numFmtId="1" fontId="7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" fontId="6" fillId="3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4" fillId="4" borderId="0" applyAlignment="1" applyProtection="1" pivotButton="0" quotePrefix="0" xfId="0">
      <alignment horizontal="general" vertical="bottom"/>
      <protection locked="0" hidden="0"/>
    </xf>
    <xf numFmtId="2" fontId="14" fillId="4" borderId="0" applyAlignment="1" applyProtection="1" pivotButton="0" quotePrefix="0" xfId="0">
      <alignment horizontal="general" vertical="bottom"/>
      <protection locked="0" hidden="0"/>
    </xf>
    <xf numFmtId="0" fontId="18" fillId="0" borderId="0" pivotButton="0" quotePrefix="0" xfId="0"/>
    <xf numFmtId="0" fontId="14" fillId="4" borderId="0" applyProtection="1" pivotButton="0" quotePrefix="0" xfId="0">
      <protection locked="0" hidden="0"/>
    </xf>
    <xf numFmtId="0" fontId="19" fillId="0" borderId="0" pivotButton="0" quotePrefix="0" xfId="0"/>
    <xf numFmtId="0" fontId="16" fillId="0" borderId="0" pivotButton="0" quotePrefix="0" xfId="0"/>
    <xf numFmtId="3" fontId="7" fillId="4" borderId="0" applyAlignment="1" applyProtection="1" pivotButton="0" quotePrefix="0" xfId="0">
      <alignment horizontal="general" vertical="bottom"/>
      <protection locked="0" hidden="0"/>
    </xf>
    <xf numFmtId="2" fontId="7" fillId="4" borderId="0" applyAlignment="1" applyProtection="1" pivotButton="0" quotePrefix="0" xfId="0">
      <alignment horizontal="general" vertical="bottom"/>
      <protection locked="0" hidden="0"/>
    </xf>
    <xf numFmtId="164" fontId="7" fillId="4" borderId="0" applyAlignment="1" applyProtection="1" pivotButton="0" quotePrefix="0" xfId="0">
      <alignment horizontal="general" vertical="bottom"/>
      <protection locked="0" hidden="0"/>
    </xf>
    <xf numFmtId="1" fontId="7" fillId="4" borderId="0" applyAlignment="1" applyProtection="1" pivotButton="0" quotePrefix="0" xfId="0">
      <alignment horizontal="general" vertical="bottom"/>
      <protection locked="0" hidden="0"/>
    </xf>
    <xf numFmtId="0" fontId="8" fillId="0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1" fontId="17" fillId="0" borderId="0" applyAlignment="1" pivotButton="0" quotePrefix="0" xfId="0">
      <alignment horizontal="center" vertical="bottom"/>
    </xf>
    <xf numFmtId="3" fontId="14" fillId="4" borderId="0" applyAlignment="1" applyProtection="1" pivotButton="0" quotePrefix="0" xfId="0">
      <alignment horizontal="general" vertical="bottom"/>
      <protection locked="0" hidden="0"/>
    </xf>
    <xf numFmtId="3" fontId="14" fillId="0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general" vertical="bottom"/>
    </xf>
    <xf numFmtId="0" fontId="14" fillId="4" borderId="0" applyAlignment="1" applyProtection="1" pivotButton="0" quotePrefix="0" xfId="0">
      <alignment horizontal="general" vertical="bottom"/>
      <protection locked="0" hidden="0"/>
    </xf>
    <xf numFmtId="1" fontId="14" fillId="4" borderId="0" applyAlignment="1" applyProtection="1" pivotButton="0" quotePrefix="0" xfId="0">
      <alignment horizontal="center" vertical="bottom"/>
      <protection locked="0" hidden="0"/>
    </xf>
    <xf numFmtId="1" fontId="14" fillId="0" borderId="0" applyAlignment="1" pivotButton="0" quotePrefix="0" xfId="0">
      <alignment horizontal="center" vertical="bottom"/>
    </xf>
    <xf numFmtId="3" fontId="17" fillId="0" borderId="1" applyAlignment="1" pivotButton="0" quotePrefix="0" xfId="0">
      <alignment horizontal="general" vertical="bottom"/>
    </xf>
    <xf numFmtId="0" fontId="0" fillId="4" borderId="0" applyProtection="1" pivotButton="0" quotePrefix="0" xfId="0">
      <protection locked="0" hidden="0"/>
    </xf>
    <xf numFmtId="0" fontId="15" fillId="6" borderId="0" pivotButton="0" quotePrefix="0" xfId="0"/>
    <xf numFmtId="0" fontId="17" fillId="0" borderId="0" pivotButton="0" quotePrefix="0" xfId="0"/>
    <xf numFmtId="0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BBB59"/>
      <rgbColor rgb="FF003366"/>
      <rgbColor rgb="FF4F81BD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Profit After Tax (CHF)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'Dashboard'!$B$19:$K$19</f>
            </numRef>
          </val>
        </ser>
        <ser>
          <idx val="1"/>
          <order val="1"/>
          <tx>
            <v>Downside</v>
          </tx>
          <spPr>
            <a:ln w="18000">
              <a:solidFill>
                <a:srgbClr val="C6282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'Dashboard'!$B$31:$K$31</f>
            </numRef>
          </val>
        </ser>
        <ser>
          <idx val="2"/>
          <order val="2"/>
          <tx>
            <v>Upside</v>
          </tx>
          <spPr>
            <a:ln w="18000">
              <a:solidFill>
                <a:srgbClr val="2E7D3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'Dashboard'!$B$43:$K$43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Cash (CHF)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'Dashboard'!$B$20:$K$20</f>
            </numRef>
          </val>
        </ser>
        <ser>
          <idx val="1"/>
          <order val="1"/>
          <tx>
            <v>Downside</v>
          </tx>
          <spPr>
            <a:ln w="18000">
              <a:solidFill>
                <a:srgbClr val="C6282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'Dashboard'!$B$32:$K$32</f>
            </numRef>
          </val>
        </ser>
        <ser>
          <idx val="2"/>
          <order val="2"/>
          <tx>
            <v>Upside</v>
          </tx>
          <spPr>
            <a:ln w="18000">
              <a:solidFill>
                <a:srgbClr val="2E7D3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showVal val="1"/>
            <showCatName val="0"/>
            <showSerName val="0"/>
          </dLbls>
          <cat>
            <numRef>
              <f>'Dashboard'!$B$11:$K$11</f>
            </numRef>
          </cat>
          <val>
            <numRef>
              <f>'Dashboard'!$B$44:$K$44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  <author>Model Note</author>
  </authors>
  <commentList>
    <comment ref="B6" authorId="0" shapeId="0">
      <text>
        <t>Net factor = (1 - 8.1% VAT) × (1 - ~4% platform/payment fees) ≈ 0.89</t>
      </text>
    </comment>
    <comment ref="B7" authorId="0" shapeId="0">
      <text>
        <t>BP states +8%/yr to 2030, +4%/yr after. Two-phase growth as per BP Section 11.</t>
      </text>
    </comment>
    <comment ref="B10" authorId="0" shapeId="0">
      <text>
        <t>Applied to 2031 Partnership Total to auto-calculate 2032-2036.</t>
      </text>
    </comment>
    <comment ref="B11" authorId="0" shapeId="0">
      <text>
        <t>Set to 0 to remove summer edition. Revenue and cost multipliers can differ.
Summer edition revenue and costs are calculated as a percentage of winter edition results.
Source: BP Section 11 — '~55% of winter revenue'.
Note: BP text states ~55%, but BP P&amp;L numbers imply ~43%. Model uses 55% per BP text.</t>
      </text>
    </comment>
    <comment ref="B12" authorId="0" shapeId="0">
      <text>
        <t>Source: BP Section 11 — '~50% of winter costs'.</t>
      </text>
    </comment>
    <comment ref="B13" authorId="0" shapeId="0">
      <text>
        <t>Summer edition starts from this year. BP Section 08: 'July/August from 2027'.</t>
      </text>
    </comment>
    <comment ref="D56" authorId="0" shapeId="0">
      <text>
        <t>Tier breakdown is estimated to match BP totals. Adjust price and count per tier as needed.</t>
      </text>
    </comment>
    <comment ref="E56" authorId="0" shapeId="0">
      <text>
        <t>Tier breakdown is estimated to match BP totals. Adjust price and count per tier as needed.</t>
      </text>
    </comment>
    <comment ref="F56" authorId="0" shapeId="0">
      <text>
        <t>Tier breakdown is estimated to match BP totals. Adjust price and count per tier as needed.</t>
      </text>
    </comment>
    <comment ref="J61" authorId="0" shapeId="0">
      <text>
        <t>BP states Phase 3 as 30/35/35/40. Adjusted to 30/35/40/45 assuming the 35k repeat was unintentional.</t>
      </text>
    </comment>
    <comment ref="B70" authorId="1" shapeId="0">
      <text>
        <t>Share rate may be based on profit margin, not gross revenue. Adjust when contract terms are confirmed.</t>
      </text>
    </comment>
    <comment ref="B76" authorId="1" shapeId="0">
      <text>
        <t>Share rate may be based on profit margin, not gross revenue. Adjust when contract terms are confirmed.</t>
      </text>
    </comment>
    <comment ref="B82" authorId="1" shapeId="0">
      <text>
        <t>Share rate may be based on profit margin, not gross revenue. Adjust when contract terms are confirmed.</t>
      </text>
    </comment>
    <comment ref="B88" authorId="1" shapeId="0">
      <text>
        <t>Share rate may be based on profit margin, not gross revenue. Adjust when contract terms are confirmed.</t>
      </text>
    </comment>
    <comment ref="B94" authorId="1" shapeId="0">
      <text>
        <t>Share rate may be based on profit margin, not gross revenue. Adjust when contract terms are confirmed.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Model Note</author>
  </authors>
  <commentList>
    <comment ref="B4" authorId="0" shapeId="0">
      <text>
        <t>Contractual rate, NOT inflation. BP: 'CHF 27,550 + VAT in 2027, then +3%/yr'.</t>
      </text>
    </comment>
    <comment ref="B5" authorId="0" shapeId="0">
      <text>
        <t>As Aura grows its brand and production value, Category C costs grow accordingly.</t>
      </text>
    </comment>
    <comment ref="B6" authorId="0" shapeId="0">
      <text>
        <t>Buffer for unexpected expenses. Calculated as % of total direct costs (A+B+C).</t>
      </text>
    </comment>
    <comment ref="B16" authorId="0" shapeId="0">
      <text>
        <t>BP assumption table says '27,550 + VAT' but detailed calculation shows 27,951 incl. VAT. Only Gütsch (4,950) is quoted excl. VAT; other venues are F&amp;B minimums incl. VAT.</t>
      </text>
    </comment>
    <comment ref="A17" authorId="1" shapeId="0">
      <text>
        <t>BP shows 'Bar/F&amp;B (net) = 9,000 CHF' as revenue, but per Rox confirmation, Aura receives no share of bar/food sales. This 9,000 is a deposit-style credit: guests are expected to spend more than 9,000 at the venue, so the excess offsets venue costs. It is correctly recorded here as a cost reduction, not as revenue.</t>
      </text>
    </comment>
    <comment ref="B17" authorId="0" shapeId="0">
      <text>
        <t>Estimated guest F&amp;B spend credited toward venue minimums. If guests spend less, Aura covers the gap. Grows with Venue Contract Escalation (3%/yr) as menu prices rise with venue costs.</t>
      </text>
    </comment>
    <comment ref="B20" authorId="0" shapeId="0">
      <text>
        <t>Includes ski/workout session and GRÜEZI coffee operation costs. Sunday Coffee revenue (100% Aura) is on the Revenue sheet.</t>
      </text>
    </comment>
    <comment ref="B26" authorId="0" shapeId="0">
      <text>
        <t>BP: 'Each ticket comes with two figurines.' Based on Ticket Count (250), not Guest Count (280). 250 × 2 drinks × CHF 9 = 4,500.</t>
      </text>
    </comment>
    <comment ref="B55" authorId="0" shapeId="0">
      <text>
        <t>Alternative approach: Link to % of profit (e.g., 30% of EBIT split between founders). This ties compensation to performance and is easier to justify to investors.
2027-2031: Manual input (compensation grows as the business establishes).
2032-2036: Auto-calculated at +4%/year from 2031 value.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16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K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35" customWidth="1" style="19" min="1" max="1"/>
    <col width="18" customWidth="1" style="19" min="2" max="4"/>
    <col width="15" customWidth="1" style="19" min="5" max="11"/>
  </cols>
  <sheetData>
    <row r="1" ht="17.35" customHeight="1" s="20">
      <c r="A1" s="21" t="inlineStr">
        <is>
          <t>AURA ANDERMATT — DASHBOARD</t>
        </is>
      </c>
    </row>
    <row r="2"/>
    <row r="3" ht="15" customHeight="1" s="20">
      <c r="A3" s="22" t="inlineStr">
        <is>
          <t>KEY METRICS</t>
        </is>
      </c>
      <c r="B3" s="23" t="inlineStr">
        <is>
          <t>Downside</t>
        </is>
      </c>
      <c r="C3" s="23" t="inlineStr">
        <is>
          <t>Base</t>
        </is>
      </c>
      <c r="D3" s="23" t="inlineStr">
        <is>
          <t>Upside</t>
        </is>
      </c>
      <c r="E3" s="22" t="n"/>
      <c r="F3" s="22" t="n"/>
      <c r="G3" s="22" t="n"/>
      <c r="H3" s="22" t="n"/>
      <c r="I3" s="22" t="n"/>
      <c r="J3" s="22" t="n"/>
      <c r="K3" s="22" t="n"/>
    </row>
    <row r="4" ht="15" customHeight="1" s="20">
      <c r="A4" s="24" t="inlineStr">
        <is>
          <t>10-Year Cumulative Cash (CHF)</t>
        </is>
      </c>
      <c r="B4" s="25">
        <f>K32</f>
        <v/>
      </c>
      <c r="C4" s="25">
        <f>K20</f>
        <v/>
      </c>
      <c r="D4" s="25">
        <f>K44</f>
        <v/>
      </c>
    </row>
    <row r="5" ht="15" customHeight="1" s="20">
      <c r="A5" s="24" t="inlineStr">
        <is>
          <t>2027 Profit After Tax (CHF)</t>
        </is>
      </c>
      <c r="B5" s="25">
        <f>B31</f>
        <v/>
      </c>
      <c r="C5" s="25">
        <f>B19</f>
        <v/>
      </c>
      <c r="D5" s="25">
        <f>B43</f>
        <v/>
      </c>
    </row>
    <row r="6" ht="15" customHeight="1" s="20">
      <c r="A6" s="24" t="n"/>
      <c r="B6" s="25" t="n"/>
      <c r="C6" s="25" t="n"/>
      <c r="D6" s="25" t="n"/>
    </row>
    <row r="7"/>
    <row r="8"/>
    <row r="9" ht="15" customHeight="1" s="20">
      <c r="A9" s="22" t="inlineStr">
        <is>
          <t>SCENARIO COMPARISON (10-YEAR P&amp;L)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 ht="15" customHeight="1" s="20">
      <c r="A10" s="26" t="inlineStr">
        <is>
          <t>BASE SCENARIO</t>
        </is>
      </c>
    </row>
    <row r="11" ht="15" customHeight="1" s="20">
      <c r="A11" s="27" t="n"/>
      <c r="B11" s="28" t="n">
        <v>2027</v>
      </c>
      <c r="C11" s="28" t="n">
        <v>2028</v>
      </c>
      <c r="D11" s="28" t="n">
        <v>2029</v>
      </c>
      <c r="E11" s="28" t="n">
        <v>2030</v>
      </c>
      <c r="F11" s="28" t="n">
        <v>2031</v>
      </c>
      <c r="G11" s="28" t="n">
        <v>2032</v>
      </c>
      <c r="H11" s="28" t="n">
        <v>2033</v>
      </c>
      <c r="I11" s="28" t="n">
        <v>2034</v>
      </c>
      <c r="J11" s="28" t="n">
        <v>2035</v>
      </c>
      <c r="K11" s="28" t="n">
        <v>2036</v>
      </c>
    </row>
    <row r="12" ht="15" customHeight="1" s="20">
      <c r="A12" s="24" t="inlineStr">
        <is>
          <t xml:space="preserve">    Net Ticket Revenue</t>
        </is>
      </c>
      <c r="B12" s="29">
        <f>'P&amp;L'!B10*$C$60*$C$61</f>
        <v/>
      </c>
      <c r="C12" s="29">
        <f>'P&amp;L'!C10*$C$60*$C$61</f>
        <v/>
      </c>
      <c r="D12" s="29">
        <f>'P&amp;L'!D10*$C$60*$C$61</f>
        <v/>
      </c>
      <c r="E12" s="29">
        <f>'P&amp;L'!E10*$C$60*$C$61</f>
        <v/>
      </c>
      <c r="F12" s="29">
        <f>'P&amp;L'!F10*$C$60*$C$61</f>
        <v/>
      </c>
      <c r="G12" s="29">
        <f>'P&amp;L'!G10*$C$60*$C$61</f>
        <v/>
      </c>
      <c r="H12" s="29">
        <f>'P&amp;L'!H10*$C$60*$C$61</f>
        <v/>
      </c>
      <c r="I12" s="29">
        <f>'P&amp;L'!I10*$C$60*$C$61</f>
        <v/>
      </c>
      <c r="J12" s="29">
        <f>'P&amp;L'!J10*$C$60*$C$61</f>
        <v/>
      </c>
      <c r="K12" s="29">
        <f>'P&amp;L'!K10*$C$60*$C$61</f>
        <v/>
      </c>
    </row>
    <row r="13" ht="15" customHeight="1" s="20">
      <c r="A13" s="24" t="inlineStr">
        <is>
          <t xml:space="preserve">    Partnership Revenue</t>
        </is>
      </c>
      <c r="B13" s="29">
        <f>'P&amp;L'!B11*$C$62</f>
        <v/>
      </c>
      <c r="C13" s="29">
        <f>'P&amp;L'!C11*$C$62</f>
        <v/>
      </c>
      <c r="D13" s="29">
        <f>'P&amp;L'!D11*$C$62</f>
        <v/>
      </c>
      <c r="E13" s="29">
        <f>'P&amp;L'!E11*$C$62</f>
        <v/>
      </c>
      <c r="F13" s="29">
        <f>'P&amp;L'!F11*$C$62</f>
        <v/>
      </c>
      <c r="G13" s="29">
        <f>'P&amp;L'!G11*$C$62</f>
        <v/>
      </c>
      <c r="H13" s="29">
        <f>'P&amp;L'!H11*$C$62</f>
        <v/>
      </c>
      <c r="I13" s="29">
        <f>'P&amp;L'!I11*$C$62</f>
        <v/>
      </c>
      <c r="J13" s="29">
        <f>'P&amp;L'!J11*$C$62</f>
        <v/>
      </c>
      <c r="K13" s="29">
        <f>'P&amp;L'!K11*$C$62</f>
        <v/>
      </c>
    </row>
    <row r="14" ht="15" customHeight="1" s="20">
      <c r="A14" s="24" t="inlineStr">
        <is>
          <t xml:space="preserve">    Other Revenue (ASA+F&amp;B+Dinner+Other)</t>
        </is>
      </c>
      <c r="B14" s="29">
        <f>'P&amp;L'!B12*$C$63+'P&amp;L'!B13+'P&amp;L'!B14+'P&amp;L'!B15</f>
        <v/>
      </c>
      <c r="C14" s="29">
        <f>'P&amp;L'!C12*$C$63+'P&amp;L'!C13+'P&amp;L'!C14+'P&amp;L'!C15</f>
        <v/>
      </c>
      <c r="D14" s="29">
        <f>'P&amp;L'!D12*$C$63+'P&amp;L'!D13+'P&amp;L'!D14+'P&amp;L'!D15</f>
        <v/>
      </c>
      <c r="E14" s="29">
        <f>'P&amp;L'!E12*$C$63+'P&amp;L'!E13+'P&amp;L'!E14+'P&amp;L'!E15</f>
        <v/>
      </c>
      <c r="F14" s="29">
        <f>'P&amp;L'!F12*$C$63+'P&amp;L'!F13+'P&amp;L'!F14+'P&amp;L'!F15</f>
        <v/>
      </c>
      <c r="G14" s="29">
        <f>'P&amp;L'!G12*$C$63+'P&amp;L'!G13+'P&amp;L'!G14+'P&amp;L'!G15</f>
        <v/>
      </c>
      <c r="H14" s="29">
        <f>'P&amp;L'!H12*$C$63+'P&amp;L'!H13+'P&amp;L'!H14+'P&amp;L'!H15</f>
        <v/>
      </c>
      <c r="I14" s="29">
        <f>'P&amp;L'!I12*$C$63+'P&amp;L'!I13+'P&amp;L'!I14+'P&amp;L'!I15</f>
        <v/>
      </c>
      <c r="J14" s="29">
        <f>'P&amp;L'!J12*$C$63+'P&amp;L'!J13+'P&amp;L'!J14+'P&amp;L'!J15</f>
        <v/>
      </c>
      <c r="K14" s="29">
        <f>'P&amp;L'!K12*$C$63+'P&amp;L'!K13+'P&amp;L'!K14+'P&amp;L'!K15</f>
        <v/>
      </c>
    </row>
    <row r="15" ht="15" customHeight="1" s="20">
      <c r="A15" s="26" t="inlineStr">
        <is>
          <t>Total Revenue</t>
        </is>
      </c>
      <c r="B15" s="25">
        <f>(B12+B13+B14)*(1+IF(2027&gt;=$C$71,Revenue!$B$11,0))</f>
        <v/>
      </c>
      <c r="C15" s="25">
        <f>(C12+C13+C14)*(1+IF(2028&gt;=$C$71,Revenue!$B$11,0))</f>
        <v/>
      </c>
      <c r="D15" s="25">
        <f>(D12+D13+D14)*(1+IF(2029&gt;=$C$71,Revenue!$B$11,0))</f>
        <v/>
      </c>
      <c r="E15" s="25">
        <f>(E12+E13+E14)*(1+IF(2030&gt;=$C$71,Revenue!$B$11,0))</f>
        <v/>
      </c>
      <c r="F15" s="25">
        <f>(F12+F13+F14)*(1+IF(2031&gt;=$C$71,Revenue!$B$11,0))</f>
        <v/>
      </c>
      <c r="G15" s="25">
        <f>(G12+G13+G14)*(1+IF(2032&gt;=$C$71,Revenue!$B$11,0))</f>
        <v/>
      </c>
      <c r="H15" s="25">
        <f>(H12+H13+H14)*(1+IF(2033&gt;=$C$71,Revenue!$B$11,0))</f>
        <v/>
      </c>
      <c r="I15" s="25">
        <f>(I12+I13+I14)*(1+IF(2034&gt;=$C$71,Revenue!$B$11,0))</f>
        <v/>
      </c>
      <c r="J15" s="25">
        <f>(J12+J13+J14)*(1+IF(2035&gt;=$C$71,Revenue!$B$11,0))</f>
        <v/>
      </c>
      <c r="K15" s="25">
        <f>(K12+K13+K14)*(1+IF(2036&gt;=$C$71,Revenue!$B$11,0))</f>
        <v/>
      </c>
    </row>
    <row r="16" ht="15" customHeight="1" s="20">
      <c r="A16" s="24" t="inlineStr">
        <is>
          <t xml:space="preserve">  Total Costs</t>
        </is>
      </c>
      <c r="B16" s="29">
        <f>'P&amp;L'!B20*$C$66+'P&amp;L'!B21+'P&amp;L'!B22*$C$67</f>
        <v/>
      </c>
      <c r="C16" s="29">
        <f>'P&amp;L'!C20*$C$66+'P&amp;L'!C21+'P&amp;L'!C22*$C$67</f>
        <v/>
      </c>
      <c r="D16" s="29">
        <f>'P&amp;L'!D20*$C$66+'P&amp;L'!D21+'P&amp;L'!D22*$C$67</f>
        <v/>
      </c>
      <c r="E16" s="29">
        <f>'P&amp;L'!E20*$C$66+'P&amp;L'!E21+'P&amp;L'!E22*$C$67</f>
        <v/>
      </c>
      <c r="F16" s="29">
        <f>'P&amp;L'!F20*$C$66+'P&amp;L'!F21+'P&amp;L'!F22*$C$67</f>
        <v/>
      </c>
      <c r="G16" s="29">
        <f>'P&amp;L'!G20*$C$66+'P&amp;L'!G21+'P&amp;L'!G22*$C$67</f>
        <v/>
      </c>
      <c r="H16" s="29">
        <f>'P&amp;L'!H20*$C$66+'P&amp;L'!H21+'P&amp;L'!H22*$C$67</f>
        <v/>
      </c>
      <c r="I16" s="29">
        <f>'P&amp;L'!I20*$C$66+'P&amp;L'!I21+'P&amp;L'!I22*$C$67</f>
        <v/>
      </c>
      <c r="J16" s="29">
        <f>'P&amp;L'!J20*$C$66+'P&amp;L'!J21+'P&amp;L'!J22*$C$67</f>
        <v/>
      </c>
      <c r="K16" s="29">
        <f>'P&amp;L'!K20*$C$66+'P&amp;L'!K21+'P&amp;L'!K22*$C$67</f>
        <v/>
      </c>
    </row>
    <row r="17" ht="15" customHeight="1" s="20">
      <c r="A17" s="26" t="inlineStr">
        <is>
          <t>EBIT</t>
        </is>
      </c>
      <c r="B17" s="25">
        <f>B15+B16</f>
        <v/>
      </c>
      <c r="C17" s="25">
        <f>C15+C16</f>
        <v/>
      </c>
      <c r="D17" s="25">
        <f>D15+D16</f>
        <v/>
      </c>
      <c r="E17" s="25">
        <f>E15+E16</f>
        <v/>
      </c>
      <c r="F17" s="25">
        <f>F15+F16</f>
        <v/>
      </c>
      <c r="G17" s="25">
        <f>G15+G16</f>
        <v/>
      </c>
      <c r="H17" s="25">
        <f>H15+H16</f>
        <v/>
      </c>
      <c r="I17" s="25">
        <f>I15+I16</f>
        <v/>
      </c>
      <c r="J17" s="25">
        <f>J15+J16</f>
        <v/>
      </c>
      <c r="K17" s="25">
        <f>K15+K16</f>
        <v/>
      </c>
    </row>
    <row r="18" ht="15" customHeight="1" s="20">
      <c r="A18" s="24" t="inlineStr">
        <is>
          <t>Tax</t>
        </is>
      </c>
      <c r="B18" s="30">
        <f>IF(B17&gt;0,-B17*'P&amp;L'!$B$5,0)</f>
        <v/>
      </c>
      <c r="C18" s="30">
        <f>IF(C17&gt;0,-C17*'P&amp;L'!$B$5,0)</f>
        <v/>
      </c>
      <c r="D18" s="30">
        <f>IF(D17&gt;0,-D17*'P&amp;L'!$B$5,0)</f>
        <v/>
      </c>
      <c r="E18" s="30">
        <f>IF(E17&gt;0,-E17*'P&amp;L'!$B$5,0)</f>
        <v/>
      </c>
      <c r="F18" s="30">
        <f>IF(F17&gt;0,-F17*'P&amp;L'!$B$5,0)</f>
        <v/>
      </c>
      <c r="G18" s="30">
        <f>IF(G17&gt;0,-G17*'P&amp;L'!$B$5,0)</f>
        <v/>
      </c>
      <c r="H18" s="30">
        <f>IF(H17&gt;0,-H17*'P&amp;L'!$B$5,0)</f>
        <v/>
      </c>
      <c r="I18" s="30">
        <f>IF(I17&gt;0,-I17*'P&amp;L'!$B$5,0)</f>
        <v/>
      </c>
      <c r="J18" s="30">
        <f>IF(J17&gt;0,-J17*'P&amp;L'!$B$5,0)</f>
        <v/>
      </c>
      <c r="K18" s="30">
        <f>IF(K17&gt;0,-K17*'P&amp;L'!$B$5,0)</f>
        <v/>
      </c>
    </row>
    <row r="19" ht="15" customHeight="1" s="20">
      <c r="A19" s="26" t="inlineStr">
        <is>
          <t>Profit After Tax</t>
        </is>
      </c>
      <c r="B19" s="25">
        <f>B17+B18</f>
        <v/>
      </c>
      <c r="C19" s="25">
        <f>C17+C18</f>
        <v/>
      </c>
      <c r="D19" s="25">
        <f>D17+D18</f>
        <v/>
      </c>
      <c r="E19" s="25">
        <f>E17+E18</f>
        <v/>
      </c>
      <c r="F19" s="25">
        <f>F17+F18</f>
        <v/>
      </c>
      <c r="G19" s="25">
        <f>G17+G18</f>
        <v/>
      </c>
      <c r="H19" s="25">
        <f>H17+H18</f>
        <v/>
      </c>
      <c r="I19" s="25">
        <f>I17+I18</f>
        <v/>
      </c>
      <c r="J19" s="25">
        <f>J17+J18</f>
        <v/>
      </c>
      <c r="K19" s="25">
        <f>K17+K18</f>
        <v/>
      </c>
    </row>
    <row r="20" ht="15" customHeight="1" s="20">
      <c r="A20" s="26" t="inlineStr">
        <is>
          <t>Cumulative Cash</t>
        </is>
      </c>
      <c r="B20" s="25">
        <f>'P&amp;L'!$B$6+B19</f>
        <v/>
      </c>
      <c r="C20" s="25">
        <f>B20+C19</f>
        <v/>
      </c>
      <c r="D20" s="25">
        <f>C20+D19</f>
        <v/>
      </c>
      <c r="E20" s="25">
        <f>D20+E19</f>
        <v/>
      </c>
      <c r="F20" s="25">
        <f>E20+F19</f>
        <v/>
      </c>
      <c r="G20" s="25">
        <f>F20+G19</f>
        <v/>
      </c>
      <c r="H20" s="25">
        <f>G20+H19</f>
        <v/>
      </c>
      <c r="I20" s="25">
        <f>H20+I19</f>
        <v/>
      </c>
      <c r="J20" s="25">
        <f>I20+J19</f>
        <v/>
      </c>
      <c r="K20" s="31">
        <f>J20+K19</f>
        <v/>
      </c>
    </row>
    <row r="21"/>
    <row r="22" ht="15" customHeight="1" s="20">
      <c r="A22" s="26" t="inlineStr">
        <is>
          <t>DOWNSIDE SCENARIO</t>
        </is>
      </c>
    </row>
    <row r="23" ht="15" customHeight="1" s="20">
      <c r="A23" s="27" t="n"/>
      <c r="B23" s="28" t="n">
        <v>2027</v>
      </c>
      <c r="C23" s="28" t="n">
        <v>2028</v>
      </c>
      <c r="D23" s="28" t="n">
        <v>2029</v>
      </c>
      <c r="E23" s="28" t="n">
        <v>2030</v>
      </c>
      <c r="F23" s="28" t="n">
        <v>2031</v>
      </c>
      <c r="G23" s="28" t="n">
        <v>2032</v>
      </c>
      <c r="H23" s="28" t="n">
        <v>2033</v>
      </c>
      <c r="I23" s="28" t="n">
        <v>2034</v>
      </c>
      <c r="J23" s="28" t="n">
        <v>2035</v>
      </c>
      <c r="K23" s="28" t="n">
        <v>2036</v>
      </c>
    </row>
    <row r="24" ht="15" customHeight="1" s="20">
      <c r="A24" s="24" t="inlineStr">
        <is>
          <t xml:space="preserve">    Net Ticket Revenue (adj.)</t>
        </is>
      </c>
      <c r="B24" s="29">
        <f>'P&amp;L'!B10*$B$60*$B$61</f>
        <v/>
      </c>
      <c r="C24" s="29">
        <f>'P&amp;L'!C10*$B$60*$B$61</f>
        <v/>
      </c>
      <c r="D24" s="29">
        <f>'P&amp;L'!D10*$B$60*$B$61</f>
        <v/>
      </c>
      <c r="E24" s="29">
        <f>'P&amp;L'!E10*$B$60*$B$61</f>
        <v/>
      </c>
      <c r="F24" s="29">
        <f>'P&amp;L'!F10*$B$60*$B$61</f>
        <v/>
      </c>
      <c r="G24" s="29">
        <f>'P&amp;L'!G10*$B$60*$B$61</f>
        <v/>
      </c>
      <c r="H24" s="29">
        <f>'P&amp;L'!H10*$B$60*$B$61</f>
        <v/>
      </c>
      <c r="I24" s="29">
        <f>'P&amp;L'!I10*$B$60*$B$61</f>
        <v/>
      </c>
      <c r="J24" s="29">
        <f>'P&amp;L'!J10*$B$60*$B$61</f>
        <v/>
      </c>
      <c r="K24" s="29">
        <f>'P&amp;L'!K10*$B$60*$B$61</f>
        <v/>
      </c>
    </row>
    <row r="25" ht="15" customHeight="1" s="20">
      <c r="A25" s="24" t="inlineStr">
        <is>
          <t xml:space="preserve">    Partnership Revenue (adj.)</t>
        </is>
      </c>
      <c r="B25" s="29">
        <f>'P&amp;L'!B11*$B$62</f>
        <v/>
      </c>
      <c r="C25" s="29">
        <f>'P&amp;L'!C11*$B$62</f>
        <v/>
      </c>
      <c r="D25" s="29">
        <f>'P&amp;L'!D11*$B$62</f>
        <v/>
      </c>
      <c r="E25" s="29">
        <f>'P&amp;L'!E11*$B$62</f>
        <v/>
      </c>
      <c r="F25" s="29">
        <f>'P&amp;L'!F11*$B$62</f>
        <v/>
      </c>
      <c r="G25" s="29">
        <f>'P&amp;L'!G11*$B$62</f>
        <v/>
      </c>
      <c r="H25" s="29">
        <f>'P&amp;L'!H11*$B$62</f>
        <v/>
      </c>
      <c r="I25" s="29">
        <f>'P&amp;L'!I11*$B$62</f>
        <v/>
      </c>
      <c r="J25" s="29">
        <f>'P&amp;L'!J11*$B$62</f>
        <v/>
      </c>
      <c r="K25" s="29">
        <f>'P&amp;L'!K11*$B$62</f>
        <v/>
      </c>
    </row>
    <row r="26" ht="15" customHeight="1" s="20">
      <c r="A26" s="24" t="inlineStr">
        <is>
          <t xml:space="preserve">    Other Revenue (ASA+F&amp;B+Dinner+Other) (adj.)</t>
        </is>
      </c>
      <c r="B26" s="29">
        <f>'P&amp;L'!B12*$B$63+'P&amp;L'!B13+'P&amp;L'!B14+'P&amp;L'!B15</f>
        <v/>
      </c>
      <c r="C26" s="29">
        <f>'P&amp;L'!C12*$B$63+'P&amp;L'!C13+'P&amp;L'!C14+'P&amp;L'!C15</f>
        <v/>
      </c>
      <c r="D26" s="29">
        <f>'P&amp;L'!D12*$B$63+'P&amp;L'!D13+'P&amp;L'!D14+'P&amp;L'!D15</f>
        <v/>
      </c>
      <c r="E26" s="29">
        <f>'P&amp;L'!E12*$B$63+'P&amp;L'!E13+'P&amp;L'!E14+'P&amp;L'!E15</f>
        <v/>
      </c>
      <c r="F26" s="29">
        <f>'P&amp;L'!F12*$B$63+'P&amp;L'!F13+'P&amp;L'!F14+'P&amp;L'!F15</f>
        <v/>
      </c>
      <c r="G26" s="29">
        <f>'P&amp;L'!G12*$B$63+'P&amp;L'!G13+'P&amp;L'!G14+'P&amp;L'!G15</f>
        <v/>
      </c>
      <c r="H26" s="29">
        <f>'P&amp;L'!H12*$B$63+'P&amp;L'!H13+'P&amp;L'!H14+'P&amp;L'!H15</f>
        <v/>
      </c>
      <c r="I26" s="29">
        <f>'P&amp;L'!I12*$B$63+'P&amp;L'!I13+'P&amp;L'!I14+'P&amp;L'!I15</f>
        <v/>
      </c>
      <c r="J26" s="29">
        <f>'P&amp;L'!J12*$B$63+'P&amp;L'!J13+'P&amp;L'!J14+'P&amp;L'!J15</f>
        <v/>
      </c>
      <c r="K26" s="29">
        <f>'P&amp;L'!K12*$B$63+'P&amp;L'!K13+'P&amp;L'!K14+'P&amp;L'!K15</f>
        <v/>
      </c>
    </row>
    <row r="27" ht="15" customHeight="1" s="20">
      <c r="A27" s="26" t="inlineStr">
        <is>
          <t>Total Revenue</t>
        </is>
      </c>
      <c r="B27" s="25">
        <f>(B24+B25+B26)*(1+IF(2027&gt;=$B$71,Revenue!$B$11,0))</f>
        <v/>
      </c>
      <c r="C27" s="25">
        <f>(C24+C25+C26)*(1+IF(2028&gt;=$B$71,Revenue!$B$11,0))</f>
        <v/>
      </c>
      <c r="D27" s="25">
        <f>(D24+D25+D26)*(1+IF(2029&gt;=$B$71,Revenue!$B$11,0))</f>
        <v/>
      </c>
      <c r="E27" s="25">
        <f>(E24+E25+E26)*(1+IF(2030&gt;=$B$71,Revenue!$B$11,0))</f>
        <v/>
      </c>
      <c r="F27" s="25">
        <f>(F24+F25+F26)*(1+IF(2031&gt;=$B$71,Revenue!$B$11,0))</f>
        <v/>
      </c>
      <c r="G27" s="25">
        <f>(G24+G25+G26)*(1+IF(2032&gt;=$B$71,Revenue!$B$11,0))</f>
        <v/>
      </c>
      <c r="H27" s="25">
        <f>(H24+H25+H26)*(1+IF(2033&gt;=$B$71,Revenue!$B$11,0))</f>
        <v/>
      </c>
      <c r="I27" s="25">
        <f>(I24+I25+I26)*(1+IF(2034&gt;=$B$71,Revenue!$B$11,0))</f>
        <v/>
      </c>
      <c r="J27" s="25">
        <f>(J24+J25+J26)*(1+IF(2035&gt;=$B$71,Revenue!$B$11,0))</f>
        <v/>
      </c>
      <c r="K27" s="25">
        <f>(K24+K25+K26)*(1+IF(2036&gt;=$B$71,Revenue!$B$11,0))</f>
        <v/>
      </c>
    </row>
    <row r="28" ht="15" customHeight="1" s="20">
      <c r="A28" s="24" t="inlineStr">
        <is>
          <t xml:space="preserve">  Total Costs (adj.)</t>
        </is>
      </c>
      <c r="B28" s="29">
        <f>'P&amp;L'!B20*$B$66-$B$68+'P&amp;L'!B22*$B$67</f>
        <v/>
      </c>
      <c r="C28" s="29">
        <f>'P&amp;L'!C20*$B$66-$B$68+'P&amp;L'!C22*$B$67</f>
        <v/>
      </c>
      <c r="D28" s="29">
        <f>'P&amp;L'!D20*$B$66-$B$68+'P&amp;L'!D22*$B$67</f>
        <v/>
      </c>
      <c r="E28" s="29">
        <f>'P&amp;L'!E20*$B$66-$B$68+'P&amp;L'!E22*$B$67</f>
        <v/>
      </c>
      <c r="F28" s="29">
        <f>'P&amp;L'!F20*$B$66-$B$68+'P&amp;L'!F22*$B$67</f>
        <v/>
      </c>
      <c r="G28" s="29">
        <f>'P&amp;L'!G20*$B$66-$B$68+'P&amp;L'!G22*$B$67</f>
        <v/>
      </c>
      <c r="H28" s="29">
        <f>'P&amp;L'!H20*$B$66-$B$68+'P&amp;L'!H22*$B$67</f>
        <v/>
      </c>
      <c r="I28" s="29">
        <f>'P&amp;L'!I20*$B$66-$B$68+'P&amp;L'!I22*$B$67</f>
        <v/>
      </c>
      <c r="J28" s="29">
        <f>'P&amp;L'!J20*$B$66-$B$68+'P&amp;L'!J22*$B$67</f>
        <v/>
      </c>
      <c r="K28" s="29">
        <f>'P&amp;L'!K20*$B$66-$B$68+'P&amp;L'!K22*$B$67</f>
        <v/>
      </c>
    </row>
    <row r="29" ht="15" customHeight="1" s="20">
      <c r="A29" s="26" t="inlineStr">
        <is>
          <t>EBIT</t>
        </is>
      </c>
      <c r="B29" s="25">
        <f>B27+B28</f>
        <v/>
      </c>
      <c r="C29" s="25">
        <f>C27+C28</f>
        <v/>
      </c>
      <c r="D29" s="25">
        <f>D27+D28</f>
        <v/>
      </c>
      <c r="E29" s="25">
        <f>E27+E28</f>
        <v/>
      </c>
      <c r="F29" s="25">
        <f>F27+F28</f>
        <v/>
      </c>
      <c r="G29" s="25">
        <f>G27+G28</f>
        <v/>
      </c>
      <c r="H29" s="25">
        <f>H27+H28</f>
        <v/>
      </c>
      <c r="I29" s="25">
        <f>I27+I28</f>
        <v/>
      </c>
      <c r="J29" s="25">
        <f>J27+J28</f>
        <v/>
      </c>
      <c r="K29" s="25">
        <f>K27+K28</f>
        <v/>
      </c>
    </row>
    <row r="30" ht="15" customHeight="1" s="20">
      <c r="A30" s="24" t="inlineStr">
        <is>
          <t>Tax</t>
        </is>
      </c>
      <c r="B30" s="29">
        <f>IF(B29&gt;0,-B29*'P&amp;L'!$B$5,0)</f>
        <v/>
      </c>
      <c r="C30" s="29">
        <f>IF(C29&gt;0,-C29*'P&amp;L'!$B$5,0)</f>
        <v/>
      </c>
      <c r="D30" s="29">
        <f>IF(D29&gt;0,-D29*'P&amp;L'!$B$5,0)</f>
        <v/>
      </c>
      <c r="E30" s="29">
        <f>IF(E29&gt;0,-E29*'P&amp;L'!$B$5,0)</f>
        <v/>
      </c>
      <c r="F30" s="29">
        <f>IF(F29&gt;0,-F29*'P&amp;L'!$B$5,0)</f>
        <v/>
      </c>
      <c r="G30" s="29">
        <f>IF(G29&gt;0,-G29*'P&amp;L'!$B$5,0)</f>
        <v/>
      </c>
      <c r="H30" s="29">
        <f>IF(H29&gt;0,-H29*'P&amp;L'!$B$5,0)</f>
        <v/>
      </c>
      <c r="I30" s="29">
        <f>IF(I29&gt;0,-I29*'P&amp;L'!$B$5,0)</f>
        <v/>
      </c>
      <c r="J30" s="29">
        <f>IF(J29&gt;0,-J29*'P&amp;L'!$B$5,0)</f>
        <v/>
      </c>
      <c r="K30" s="29">
        <f>IF(K29&gt;0,-K29*'P&amp;L'!$B$5,0)</f>
        <v/>
      </c>
    </row>
    <row r="31" ht="15" customHeight="1" s="20">
      <c r="A31" s="26" t="inlineStr">
        <is>
          <t>Profit After Tax</t>
        </is>
      </c>
      <c r="B31" s="25">
        <f>B29+B30</f>
        <v/>
      </c>
      <c r="C31" s="25">
        <f>C29+C30</f>
        <v/>
      </c>
      <c r="D31" s="25">
        <f>D29+D30</f>
        <v/>
      </c>
      <c r="E31" s="25">
        <f>E29+E30</f>
        <v/>
      </c>
      <c r="F31" s="25">
        <f>F29+F30</f>
        <v/>
      </c>
      <c r="G31" s="25">
        <f>G29+G30</f>
        <v/>
      </c>
      <c r="H31" s="25">
        <f>H29+H30</f>
        <v/>
      </c>
      <c r="I31" s="25">
        <f>I29+I30</f>
        <v/>
      </c>
      <c r="J31" s="25">
        <f>J29+J30</f>
        <v/>
      </c>
      <c r="K31" s="25">
        <f>K29+K30</f>
        <v/>
      </c>
    </row>
    <row r="32" ht="15" customHeight="1" s="20">
      <c r="A32" s="26" t="inlineStr">
        <is>
          <t>Cumulative Cash</t>
        </is>
      </c>
      <c r="B32" s="25">
        <f>'P&amp;L'!$B$6+B31</f>
        <v/>
      </c>
      <c r="C32" s="25">
        <f>B32+C31</f>
        <v/>
      </c>
      <c r="D32" s="25">
        <f>C32+D31</f>
        <v/>
      </c>
      <c r="E32" s="25">
        <f>D32+E31</f>
        <v/>
      </c>
      <c r="F32" s="25">
        <f>E32+F31</f>
        <v/>
      </c>
      <c r="G32" s="25">
        <f>F32+G31</f>
        <v/>
      </c>
      <c r="H32" s="25">
        <f>G32+H31</f>
        <v/>
      </c>
      <c r="I32" s="25">
        <f>H32+I31</f>
        <v/>
      </c>
      <c r="J32" s="25">
        <f>I32+J31</f>
        <v/>
      </c>
      <c r="K32" s="31">
        <f>J32+K31</f>
        <v/>
      </c>
    </row>
    <row r="33"/>
    <row r="34" ht="15" customHeight="1" s="20">
      <c r="A34" s="26" t="inlineStr">
        <is>
          <t>UPSIDE SCENARIO</t>
        </is>
      </c>
    </row>
    <row r="35" ht="15" customHeight="1" s="20">
      <c r="A35" s="27" t="n"/>
      <c r="B35" s="28" t="n">
        <v>2027</v>
      </c>
      <c r="C35" s="28" t="n">
        <v>2028</v>
      </c>
      <c r="D35" s="28" t="n">
        <v>2029</v>
      </c>
      <c r="E35" s="28" t="n">
        <v>2030</v>
      </c>
      <c r="F35" s="28" t="n">
        <v>2031</v>
      </c>
      <c r="G35" s="28" t="n">
        <v>2032</v>
      </c>
      <c r="H35" s="28" t="n">
        <v>2033</v>
      </c>
      <c r="I35" s="28" t="n">
        <v>2034</v>
      </c>
      <c r="J35" s="28" t="n">
        <v>2035</v>
      </c>
      <c r="K35" s="28" t="n">
        <v>2036</v>
      </c>
    </row>
    <row r="36" ht="15" customHeight="1" s="20">
      <c r="A36" s="24" t="inlineStr">
        <is>
          <t xml:space="preserve">    Net Ticket Revenue (adj.)</t>
        </is>
      </c>
      <c r="B36" s="29">
        <f>'P&amp;L'!B10*$D$60*$D$61</f>
        <v/>
      </c>
      <c r="C36" s="29">
        <f>'P&amp;L'!C10*$D$60*$D$61</f>
        <v/>
      </c>
      <c r="D36" s="29">
        <f>'P&amp;L'!D10*$D$60*$D$61</f>
        <v/>
      </c>
      <c r="E36" s="29">
        <f>'P&amp;L'!E10*$D$60*$D$61</f>
        <v/>
      </c>
      <c r="F36" s="29">
        <f>'P&amp;L'!F10*$D$60*$D$61</f>
        <v/>
      </c>
      <c r="G36" s="29">
        <f>'P&amp;L'!G10*$D$60*$D$61</f>
        <v/>
      </c>
      <c r="H36" s="29">
        <f>'P&amp;L'!H10*$D$60*$D$61</f>
        <v/>
      </c>
      <c r="I36" s="29">
        <f>'P&amp;L'!I10*$D$60*$D$61</f>
        <v/>
      </c>
      <c r="J36" s="29">
        <f>'P&amp;L'!J10*$D$60*$D$61</f>
        <v/>
      </c>
      <c r="K36" s="29">
        <f>'P&amp;L'!K10*$D$60*$D$61</f>
        <v/>
      </c>
    </row>
    <row r="37" ht="15" customHeight="1" s="20">
      <c r="A37" s="24" t="inlineStr">
        <is>
          <t xml:space="preserve">    Partnership Revenue (adj.)</t>
        </is>
      </c>
      <c r="B37" s="29">
        <f>'P&amp;L'!B11*$D$62</f>
        <v/>
      </c>
      <c r="C37" s="29">
        <f>'P&amp;L'!C11*$D$62</f>
        <v/>
      </c>
      <c r="D37" s="29">
        <f>'P&amp;L'!D11*$D$62</f>
        <v/>
      </c>
      <c r="E37" s="29">
        <f>'P&amp;L'!E11*$D$62</f>
        <v/>
      </c>
      <c r="F37" s="29">
        <f>'P&amp;L'!F11*$D$62</f>
        <v/>
      </c>
      <c r="G37" s="29">
        <f>'P&amp;L'!G11*$D$62</f>
        <v/>
      </c>
      <c r="H37" s="29">
        <f>'P&amp;L'!H11*$D$62</f>
        <v/>
      </c>
      <c r="I37" s="29">
        <f>'P&amp;L'!I11*$D$62</f>
        <v/>
      </c>
      <c r="J37" s="29">
        <f>'P&amp;L'!J11*$D$62</f>
        <v/>
      </c>
      <c r="K37" s="29">
        <f>'P&amp;L'!K11*$D$62</f>
        <v/>
      </c>
    </row>
    <row r="38" ht="15" customHeight="1" s="20">
      <c r="A38" s="24" t="inlineStr">
        <is>
          <t xml:space="preserve">    Other Revenue (ASA+F&amp;B+Dinner+Other) (adj.)</t>
        </is>
      </c>
      <c r="B38" s="29">
        <f>'P&amp;L'!B12*$D$63+'P&amp;L'!B13+'P&amp;L'!B14+'P&amp;L'!B15</f>
        <v/>
      </c>
      <c r="C38" s="29">
        <f>'P&amp;L'!C12*$D$63+'P&amp;L'!C13+'P&amp;L'!C14+'P&amp;L'!C15</f>
        <v/>
      </c>
      <c r="D38" s="29">
        <f>'P&amp;L'!D12*$D$63+'P&amp;L'!D13+'P&amp;L'!D14+'P&amp;L'!D15</f>
        <v/>
      </c>
      <c r="E38" s="29">
        <f>'P&amp;L'!E12*$D$63+'P&amp;L'!E13+'P&amp;L'!E14+'P&amp;L'!E15</f>
        <v/>
      </c>
      <c r="F38" s="29">
        <f>'P&amp;L'!F12*$D$63+'P&amp;L'!F13+'P&amp;L'!F14+'P&amp;L'!F15</f>
        <v/>
      </c>
      <c r="G38" s="29">
        <f>'P&amp;L'!G12*$D$63+'P&amp;L'!G13+'P&amp;L'!G14+'P&amp;L'!G15</f>
        <v/>
      </c>
      <c r="H38" s="29">
        <f>'P&amp;L'!H12*$D$63+'P&amp;L'!H13+'P&amp;L'!H14+'P&amp;L'!H15</f>
        <v/>
      </c>
      <c r="I38" s="29">
        <f>'P&amp;L'!I12*$D$63+'P&amp;L'!I13+'P&amp;L'!I14+'P&amp;L'!I15</f>
        <v/>
      </c>
      <c r="J38" s="29">
        <f>'P&amp;L'!J12*$D$63+'P&amp;L'!J13+'P&amp;L'!J14+'P&amp;L'!J15</f>
        <v/>
      </c>
      <c r="K38" s="29">
        <f>'P&amp;L'!K12*$D$63+'P&amp;L'!K13+'P&amp;L'!K14+'P&amp;L'!K15</f>
        <v/>
      </c>
    </row>
    <row r="39" ht="15" customHeight="1" s="20">
      <c r="A39" s="26" t="inlineStr">
        <is>
          <t>Total Revenue</t>
        </is>
      </c>
      <c r="B39" s="25">
        <f>(B36+B37+B38)*(1+IF(2027&gt;=$D$71,Revenue!$B$11,0))</f>
        <v/>
      </c>
      <c r="C39" s="25">
        <f>(C36+C37+C38)*(1+IF(2028&gt;=$D$71,Revenue!$B$11,0))</f>
        <v/>
      </c>
      <c r="D39" s="25">
        <f>(D36+D37+D38)*(1+IF(2029&gt;=$D$71,Revenue!$B$11,0))</f>
        <v/>
      </c>
      <c r="E39" s="25">
        <f>(E36+E37+E38)*(1+IF(2030&gt;=$D$71,Revenue!$B$11,0))</f>
        <v/>
      </c>
      <c r="F39" s="25">
        <f>(F36+F37+F38)*(1+IF(2031&gt;=$D$71,Revenue!$B$11,0))</f>
        <v/>
      </c>
      <c r="G39" s="25">
        <f>(G36+G37+G38)*(1+IF(2032&gt;=$D$71,Revenue!$B$11,0))</f>
        <v/>
      </c>
      <c r="H39" s="25">
        <f>(H36+H37+H38)*(1+IF(2033&gt;=$D$71,Revenue!$B$11,0))</f>
        <v/>
      </c>
      <c r="I39" s="25">
        <f>(I36+I37+I38)*(1+IF(2034&gt;=$D$71,Revenue!$B$11,0))</f>
        <v/>
      </c>
      <c r="J39" s="25">
        <f>(J36+J37+J38)*(1+IF(2035&gt;=$D$71,Revenue!$B$11,0))</f>
        <v/>
      </c>
      <c r="K39" s="25">
        <f>(K36+K37+K38)*(1+IF(2036&gt;=$D$71,Revenue!$B$11,0))</f>
        <v/>
      </c>
    </row>
    <row r="40" ht="15" customHeight="1" s="20">
      <c r="A40" s="24" t="inlineStr">
        <is>
          <t xml:space="preserve">  Total Costs (adj.)</t>
        </is>
      </c>
      <c r="B40" s="29">
        <f>'P&amp;L'!B20*$D$66+'P&amp;L'!B21+'P&amp;L'!B22*$D$67</f>
        <v/>
      </c>
      <c r="C40" s="29">
        <f>'P&amp;L'!C20*$D$66+'P&amp;L'!C21+'P&amp;L'!C22*$D$67</f>
        <v/>
      </c>
      <c r="D40" s="29">
        <f>'P&amp;L'!D20*$D$66+'P&amp;L'!D21+'P&amp;L'!D22*$D$67</f>
        <v/>
      </c>
      <c r="E40" s="29">
        <f>'P&amp;L'!E20*$D$66+'P&amp;L'!E21+'P&amp;L'!E22*$D$67</f>
        <v/>
      </c>
      <c r="F40" s="29">
        <f>'P&amp;L'!F20*$D$66+'P&amp;L'!F21+'P&amp;L'!F22*$D$67</f>
        <v/>
      </c>
      <c r="G40" s="29">
        <f>'P&amp;L'!G20*$D$66+'P&amp;L'!G21+'P&amp;L'!G22*$D$67</f>
        <v/>
      </c>
      <c r="H40" s="29">
        <f>'P&amp;L'!H20*$D$66+'P&amp;L'!H21+'P&amp;L'!H22*$D$67</f>
        <v/>
      </c>
      <c r="I40" s="29">
        <f>'P&amp;L'!I20*$D$66+'P&amp;L'!I21+'P&amp;L'!I22*$D$67</f>
        <v/>
      </c>
      <c r="J40" s="29">
        <f>'P&amp;L'!J20*$D$66+'P&amp;L'!J21+'P&amp;L'!J22*$D$67</f>
        <v/>
      </c>
      <c r="K40" s="29">
        <f>'P&amp;L'!K20*$D$66+'P&amp;L'!K21+'P&amp;L'!K22*$D$67</f>
        <v/>
      </c>
    </row>
    <row r="41" ht="15" customHeight="1" s="20">
      <c r="A41" s="26" t="inlineStr">
        <is>
          <t>EBIT</t>
        </is>
      </c>
      <c r="B41" s="25">
        <f>B39+B40</f>
        <v/>
      </c>
      <c r="C41" s="25">
        <f>C39+C40</f>
        <v/>
      </c>
      <c r="D41" s="25">
        <f>D39+D40</f>
        <v/>
      </c>
      <c r="E41" s="25">
        <f>E39+E40</f>
        <v/>
      </c>
      <c r="F41" s="25">
        <f>F39+F40</f>
        <v/>
      </c>
      <c r="G41" s="25">
        <f>G39+G40</f>
        <v/>
      </c>
      <c r="H41" s="25">
        <f>H39+H40</f>
        <v/>
      </c>
      <c r="I41" s="25">
        <f>I39+I40</f>
        <v/>
      </c>
      <c r="J41" s="25">
        <f>J39+J40</f>
        <v/>
      </c>
      <c r="K41" s="25">
        <f>K39+K40</f>
        <v/>
      </c>
    </row>
    <row r="42" ht="15" customHeight="1" s="20">
      <c r="A42" s="24" t="inlineStr">
        <is>
          <t>Tax</t>
        </is>
      </c>
      <c r="B42" s="29">
        <f>IF(B41&gt;0,-B41*'P&amp;L'!$B$5,0)</f>
        <v/>
      </c>
      <c r="C42" s="29">
        <f>IF(C41&gt;0,-C41*'P&amp;L'!$B$5,0)</f>
        <v/>
      </c>
      <c r="D42" s="29">
        <f>IF(D41&gt;0,-D41*'P&amp;L'!$B$5,0)</f>
        <v/>
      </c>
      <c r="E42" s="29">
        <f>IF(E41&gt;0,-E41*'P&amp;L'!$B$5,0)</f>
        <v/>
      </c>
      <c r="F42" s="29">
        <f>IF(F41&gt;0,-F41*'P&amp;L'!$B$5,0)</f>
        <v/>
      </c>
      <c r="G42" s="29">
        <f>IF(G41&gt;0,-G41*'P&amp;L'!$B$5,0)</f>
        <v/>
      </c>
      <c r="H42" s="29">
        <f>IF(H41&gt;0,-H41*'P&amp;L'!$B$5,0)</f>
        <v/>
      </c>
      <c r="I42" s="29">
        <f>IF(I41&gt;0,-I41*'P&amp;L'!$B$5,0)</f>
        <v/>
      </c>
      <c r="J42" s="29">
        <f>IF(J41&gt;0,-J41*'P&amp;L'!$B$5,0)</f>
        <v/>
      </c>
      <c r="K42" s="29">
        <f>IF(K41&gt;0,-K41*'P&amp;L'!$B$5,0)</f>
        <v/>
      </c>
    </row>
    <row r="43" ht="15" customHeight="1" s="20">
      <c r="A43" s="26" t="inlineStr">
        <is>
          <t>Profit After Tax</t>
        </is>
      </c>
      <c r="B43" s="25">
        <f>B41+B42</f>
        <v/>
      </c>
      <c r="C43" s="25">
        <f>C41+C42</f>
        <v/>
      </c>
      <c r="D43" s="25">
        <f>D41+D42</f>
        <v/>
      </c>
      <c r="E43" s="25">
        <f>E41+E42</f>
        <v/>
      </c>
      <c r="F43" s="25">
        <f>F41+F42</f>
        <v/>
      </c>
      <c r="G43" s="25">
        <f>G41+G42</f>
        <v/>
      </c>
      <c r="H43" s="25">
        <f>H41+H42</f>
        <v/>
      </c>
      <c r="I43" s="25">
        <f>I41+I42</f>
        <v/>
      </c>
      <c r="J43" s="25">
        <f>J41+J42</f>
        <v/>
      </c>
      <c r="K43" s="25">
        <f>K41+K42</f>
        <v/>
      </c>
    </row>
    <row r="44" ht="15" customHeight="1" s="20">
      <c r="A44" s="26" t="inlineStr">
        <is>
          <t>Cumulative Cash</t>
        </is>
      </c>
      <c r="B44" s="25">
        <f>'P&amp;L'!$B$6+B43</f>
        <v/>
      </c>
      <c r="C44" s="25">
        <f>B44+C43</f>
        <v/>
      </c>
      <c r="D44" s="25">
        <f>C44+D43</f>
        <v/>
      </c>
      <c r="E44" s="25">
        <f>D44+E43</f>
        <v/>
      </c>
      <c r="F44" s="25">
        <f>E44+F43</f>
        <v/>
      </c>
      <c r="G44" s="25">
        <f>F44+G43</f>
        <v/>
      </c>
      <c r="H44" s="25">
        <f>G44+H43</f>
        <v/>
      </c>
      <c r="I44" s="25">
        <f>H44+I43</f>
        <v/>
      </c>
      <c r="J44" s="25">
        <f>I44+J43</f>
        <v/>
      </c>
      <c r="K44" s="31">
        <f>J44+K43</f>
        <v/>
      </c>
    </row>
    <row r="45"/>
    <row r="46"/>
    <row r="47"/>
    <row r="48"/>
    <row r="49"/>
    <row r="50"/>
    <row r="51"/>
    <row r="52"/>
    <row r="53"/>
    <row r="54"/>
    <row r="55" ht="15" customHeight="1" s="20">
      <c r="A55" s="32" t="inlineStr">
        <is>
          <t>SCENARIO ADJUSTMENTS (change values below to adjust scenarios)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</row>
    <row r="56" ht="15" customHeight="1" s="20">
      <c r="A56" s="34" t="n"/>
      <c r="B56" s="35" t="inlineStr">
        <is>
          <t>Downside</t>
        </is>
      </c>
      <c r="C56" s="35" t="inlineStr">
        <is>
          <t>Base</t>
        </is>
      </c>
      <c r="D56" s="35" t="inlineStr">
        <is>
          <t>Upside</t>
        </is>
      </c>
      <c r="E56" s="34" t="n"/>
      <c r="F56" s="34" t="n"/>
      <c r="G56" s="34" t="n"/>
      <c r="H56" s="34" t="n"/>
      <c r="I56" s="34" t="n"/>
      <c r="J56" s="34" t="n"/>
      <c r="K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 ht="15" customHeight="1" s="20">
      <c r="A58" s="36" t="inlineStr">
        <is>
          <t>■ REVENUE FACTORS</t>
        </is>
      </c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</row>
    <row r="59" ht="15" customHeight="1" s="20">
      <c r="A59" s="37" t="inlineStr">
        <is>
          <t xml:space="preserve">  These multiply each year's revenue line directly.</t>
        </is>
      </c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</row>
    <row r="60" ht="15" customHeight="1" s="20">
      <c r="A60" s="38" t="inlineStr">
        <is>
          <t>Ticket Occupancy</t>
        </is>
      </c>
      <c r="B60" s="39" t="n">
        <v>0.85</v>
      </c>
      <c r="C60" s="39" t="n">
        <v>1</v>
      </c>
      <c r="D60" s="39" t="n">
        <v>1</v>
      </c>
      <c r="E60" s="34" t="n"/>
      <c r="F60" s="34" t="n"/>
      <c r="G60" s="34" t="n"/>
      <c r="H60" s="34" t="n"/>
      <c r="I60" s="34" t="n"/>
      <c r="J60" s="34" t="n"/>
      <c r="K60" s="34" t="n"/>
    </row>
    <row r="61" ht="15" customHeight="1" s="20">
      <c r="A61" s="38" t="inlineStr">
        <is>
          <t>Ticket Price Factor</t>
        </is>
      </c>
      <c r="B61" s="40" t="n">
        <v>0.9</v>
      </c>
      <c r="C61" s="40" t="n">
        <v>1</v>
      </c>
      <c r="D61" s="40" t="n">
        <v>1.1</v>
      </c>
      <c r="E61" s="34" t="n"/>
      <c r="F61" s="34" t="n"/>
      <c r="G61" s="34" t="n"/>
      <c r="H61" s="34" t="n"/>
      <c r="I61" s="34" t="n"/>
      <c r="J61" s="34" t="n"/>
      <c r="K61" s="34" t="n"/>
    </row>
    <row r="62" ht="15" customHeight="1" s="20">
      <c r="A62" s="38" t="inlineStr">
        <is>
          <t>Partnership Factor</t>
        </is>
      </c>
      <c r="B62" s="40" t="n">
        <v>0.6</v>
      </c>
      <c r="C62" s="40" t="n">
        <v>1</v>
      </c>
      <c r="D62" s="40" t="n">
        <v>1.4</v>
      </c>
      <c r="E62" s="34" t="n"/>
      <c r="F62" s="34" t="n"/>
      <c r="G62" s="34" t="n"/>
      <c r="H62" s="34" t="n"/>
      <c r="I62" s="34" t="n"/>
      <c r="J62" s="34" t="n"/>
      <c r="K62" s="34" t="n"/>
    </row>
    <row r="63">
      <c r="A63" s="41" t="inlineStr">
        <is>
          <t>ASA Factor</t>
        </is>
      </c>
      <c r="B63" s="42" t="n">
        <v>0.75</v>
      </c>
      <c r="C63" s="42" t="n">
        <v>1</v>
      </c>
      <c r="D63" s="42" t="n">
        <v>1.25</v>
      </c>
      <c r="E63" s="34" t="n"/>
      <c r="F63" s="34" t="n"/>
      <c r="G63" s="34" t="n"/>
      <c r="H63" s="34" t="n"/>
      <c r="I63" s="34" t="n"/>
      <c r="J63" s="34" t="n"/>
      <c r="K63" s="34" t="n"/>
    </row>
    <row r="64" ht="15" customHeight="1" s="20">
      <c r="A64" s="33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</row>
    <row r="65" ht="15" customHeight="1" s="20">
      <c r="A65" s="36" t="inlineStr">
        <is>
          <t>■ COST FACTORS</t>
        </is>
      </c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 ht="15" customHeight="1" s="20">
      <c r="A66" s="38" t="inlineStr">
        <is>
          <t>Direct Cost Factor</t>
        </is>
      </c>
      <c r="B66" s="42" t="n">
        <v>0.8</v>
      </c>
      <c r="C66" s="42" t="n">
        <v>1</v>
      </c>
      <c r="D66" s="42" t="n">
        <v>1</v>
      </c>
      <c r="E66" s="34" t="n"/>
      <c r="F66" s="34" t="n"/>
      <c r="G66" s="34" t="n"/>
      <c r="H66" s="34" t="n"/>
      <c r="I66" s="34" t="n"/>
      <c r="J66" s="34" t="n"/>
      <c r="K66" s="34" t="n"/>
    </row>
    <row r="67" ht="15" customHeight="1" s="20">
      <c r="A67" s="38" t="inlineStr">
        <is>
          <t>Founder Pay Factor</t>
        </is>
      </c>
      <c r="B67" s="42" t="n">
        <v>0.5</v>
      </c>
      <c r="C67" s="42" t="n">
        <v>1</v>
      </c>
      <c r="D67" s="42" t="n">
        <v>1</v>
      </c>
      <c r="E67" s="34" t="n"/>
      <c r="F67" s="34" t="n"/>
      <c r="G67" s="34" t="n"/>
      <c r="H67" s="34" t="n"/>
      <c r="I67" s="34" t="n"/>
      <c r="J67" s="34" t="n"/>
      <c r="K67" s="34" t="n"/>
    </row>
    <row r="68" ht="15" customHeight="1" s="20">
      <c r="A68" s="38" t="inlineStr">
        <is>
          <t>Downside Overhead (CHF)</t>
        </is>
      </c>
      <c r="B68" s="42" t="n">
        <v>8000</v>
      </c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</row>
    <row r="69" ht="15" customHeight="1" s="20">
      <c r="A69" s="33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 ht="15" customHeight="1" s="20">
      <c r="A70" s="36" t="inlineStr">
        <is>
          <t>■ STRUCTURAL FACTORS</t>
        </is>
      </c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</row>
    <row r="71">
      <c r="A71" s="41" t="inlineStr">
        <is>
          <t>Summer Start Year</t>
        </is>
      </c>
      <c r="B71" s="42" t="n">
        <v>2029</v>
      </c>
      <c r="C71" s="42" t="n">
        <v>2027</v>
      </c>
      <c r="D71" s="42" t="n">
        <v>2027</v>
      </c>
      <c r="E71" s="34" t="n"/>
      <c r="F71" s="34" t="n"/>
      <c r="G71" s="34" t="n"/>
      <c r="H71" s="34" t="n"/>
      <c r="I71" s="34" t="n"/>
      <c r="J71" s="34" t="n"/>
      <c r="K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</row>
    <row r="73">
      <c r="A73" s="43" t="inlineStr">
        <is>
          <t>SCENARIO DEFINITIONS:</t>
        </is>
      </c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>
      <c r="A74" s="44" t="inlineStr">
        <is>
          <t xml:space="preserve">  Downside: Tickets -15%, prices -10%, partnerships -40%, ASA -25%, direct costs ×0.8, overhead fixed 8K, founder pay halved, summer from 2029.</t>
        </is>
      </c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</row>
    <row r="75">
      <c r="A75" s="44" t="inlineStr">
        <is>
          <t xml:space="preserve">  Base: All factors at 1.0 — as entered in Revenue/Cost sheets. Summer from 2027.</t>
        </is>
      </c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>
      <c r="A76" s="44" t="inlineStr">
        <is>
          <t xml:space="preserve">  Upside: Prices +10%, partnerships +40%, ASA +25%. Summer from 2027.</t>
        </is>
      </c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0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42" customWidth="1" style="19" min="1" max="1"/>
    <col width="15" customWidth="1" style="19" min="2" max="11"/>
  </cols>
  <sheetData>
    <row r="1" ht="17.35" customHeight="1" s="20">
      <c r="A1" s="21" t="inlineStr">
        <is>
          <t>REVENUE</t>
        </is>
      </c>
    </row>
    <row r="2"/>
    <row r="3" ht="15" customHeight="1" s="20">
      <c r="A3" s="32" t="inlineStr">
        <is>
          <t>MODEL ASSUMPTIONS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 ht="15" customHeight="1" s="20">
      <c r="A4" s="24" t="inlineStr">
        <is>
          <t>Total Guest Count</t>
        </is>
      </c>
      <c r="B4" s="45" t="n">
        <v>280</v>
      </c>
    </row>
    <row r="5" ht="15" customHeight="1" s="20">
      <c r="A5" s="24" t="inlineStr">
        <is>
          <t>Total Ticket Count</t>
        </is>
      </c>
      <c r="B5" s="45" t="n">
        <v>250</v>
      </c>
    </row>
    <row r="6" ht="15" customHeight="1" s="20">
      <c r="A6" s="24" t="inlineStr">
        <is>
          <t>Net Factor (VAT + platform fees)</t>
        </is>
      </c>
      <c r="B6" s="46" t="n">
        <v>0.89</v>
      </c>
    </row>
    <row r="7" ht="15" customHeight="1" s="20">
      <c r="A7" s="24" t="inlineStr">
        <is>
          <t>Ticket Price Growth Rate (to 2030)</t>
        </is>
      </c>
      <c r="B7" s="47" t="n">
        <v>0.08</v>
      </c>
    </row>
    <row r="8" ht="15" customHeight="1" s="20">
      <c r="A8" s="24" t="inlineStr">
        <is>
          <t>Ticket Price Growth Rate (2031+)</t>
        </is>
      </c>
      <c r="B8" s="47" t="n">
        <v>0.04</v>
      </c>
    </row>
    <row r="9" ht="15" customHeight="1" s="20">
      <c r="A9" s="24" t="inlineStr">
        <is>
          <t>F&amp;B Growth Rate</t>
        </is>
      </c>
      <c r="B9" s="47" t="n">
        <v>0.03</v>
      </c>
    </row>
    <row r="10" ht="15" customHeight="1" s="20">
      <c r="A10" s="24" t="inlineStr">
        <is>
          <t>Partnership Growth Rate (2032+)</t>
        </is>
      </c>
      <c r="B10" s="47" t="n">
        <v>0.06</v>
      </c>
    </row>
    <row r="11" ht="15" customHeight="1" s="20">
      <c r="A11" s="24" t="inlineStr">
        <is>
          <t>Summer Revenue Multiplier</t>
        </is>
      </c>
      <c r="B11" s="46" t="n">
        <v>0.55</v>
      </c>
    </row>
    <row r="12" ht="15" customHeight="1" s="20">
      <c r="A12" s="24" t="inlineStr">
        <is>
          <t>Summer Cost Multiplier</t>
        </is>
      </c>
      <c r="B12" s="46" t="n">
        <v>0.5</v>
      </c>
    </row>
    <row r="13" ht="15" customHeight="1" s="20">
      <c r="A13" s="24" t="inlineStr">
        <is>
          <t>Summer Start Year</t>
        </is>
      </c>
      <c r="B13" s="48" t="n">
        <v>2027</v>
      </c>
    </row>
    <row r="14"/>
    <row r="15" ht="15" customHeight="1" s="20">
      <c r="A15" s="22" t="inlineStr">
        <is>
          <t>SECTION 1: TICKET REVENUE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</row>
    <row r="16" ht="15" customHeight="1" s="20">
      <c r="A16" s="24" t="inlineStr">
        <is>
          <t>Drop Allocation</t>
        </is>
      </c>
    </row>
    <row r="17" ht="15" customHeight="1" s="20">
      <c r="A17" s="24" t="inlineStr">
        <is>
          <t xml:space="preserve">  Drop 1 Allocation %</t>
        </is>
      </c>
      <c r="B17" s="47" t="n">
        <v>0.28</v>
      </c>
    </row>
    <row r="18" ht="15" customHeight="1" s="20">
      <c r="A18" s="24" t="inlineStr">
        <is>
          <t xml:space="preserve">  Drop 2 Allocation %</t>
        </is>
      </c>
      <c r="B18" s="47" t="n">
        <v>0.44</v>
      </c>
    </row>
    <row r="19" ht="15" customHeight="1" s="20">
      <c r="A19" s="24" t="inlineStr">
        <is>
          <t xml:space="preserve">  Drop 3 Allocation %</t>
        </is>
      </c>
      <c r="B19" s="47" t="n">
        <v>0.28</v>
      </c>
    </row>
    <row r="20"/>
    <row r="21" ht="15" customHeight="1" s="20">
      <c r="A21" s="24" t="inlineStr">
        <is>
          <t>2027 Base Prices (CHF)</t>
        </is>
      </c>
    </row>
    <row r="22" ht="15" customHeight="1" s="20">
      <c r="A22" s="24" t="inlineStr">
        <is>
          <t xml:space="preserve">  Drop 1 Unit Price</t>
        </is>
      </c>
      <c r="B22" s="45" t="n">
        <v>210</v>
      </c>
    </row>
    <row r="23" ht="15" customHeight="1" s="20">
      <c r="A23" s="24" t="inlineStr">
        <is>
          <t xml:space="preserve">  Drop 2 Unit Price</t>
        </is>
      </c>
      <c r="B23" s="45" t="n">
        <v>250</v>
      </c>
    </row>
    <row r="24" ht="15" customHeight="1" s="20">
      <c r="A24" s="24" t="inlineStr">
        <is>
          <t xml:space="preserve">  Drop 3 Unit Price</t>
        </is>
      </c>
      <c r="B24" s="45" t="n">
        <v>290</v>
      </c>
    </row>
    <row r="25"/>
    <row r="26" ht="15" customHeight="1" s="20">
      <c r="A26" s="26" t="inlineStr">
        <is>
          <t>10-YEAR TICKET PROJECTION</t>
        </is>
      </c>
    </row>
    <row r="27" ht="15" customHeight="1" s="20">
      <c r="A27" s="27" t="n"/>
      <c r="B27" s="28" t="n">
        <v>2027</v>
      </c>
      <c r="C27" s="28" t="n">
        <v>2028</v>
      </c>
      <c r="D27" s="28" t="n">
        <v>2029</v>
      </c>
      <c r="E27" s="28" t="n">
        <v>2030</v>
      </c>
      <c r="F27" s="28" t="n">
        <v>2031</v>
      </c>
      <c r="G27" s="28" t="n">
        <v>2032</v>
      </c>
      <c r="H27" s="28" t="n">
        <v>2033</v>
      </c>
      <c r="I27" s="28" t="n">
        <v>2034</v>
      </c>
      <c r="J27" s="28" t="n">
        <v>2035</v>
      </c>
      <c r="K27" s="28" t="n">
        <v>2036</v>
      </c>
    </row>
    <row r="28" ht="15" customHeight="1" s="20">
      <c r="A28" s="24" t="inlineStr">
        <is>
          <t xml:space="preserve">  Drop 1 Quantity</t>
        </is>
      </c>
      <c r="B28" s="29">
        <f>ROUND($B$5*$B$17,0)</f>
        <v/>
      </c>
      <c r="C28" s="29">
        <f>ROUND($B$5*$B$17,0)</f>
        <v/>
      </c>
      <c r="D28" s="29">
        <f>ROUND($B$5*$B$17,0)</f>
        <v/>
      </c>
      <c r="E28" s="29">
        <f>ROUND($B$5*$B$17,0)</f>
        <v/>
      </c>
      <c r="F28" s="29">
        <f>ROUND($B$5*$B$17,0)</f>
        <v/>
      </c>
      <c r="G28" s="29">
        <f>ROUND($B$5*$B$17,0)</f>
        <v/>
      </c>
      <c r="H28" s="29">
        <f>ROUND($B$5*$B$17,0)</f>
        <v/>
      </c>
      <c r="I28" s="29">
        <f>ROUND($B$5*$B$17,0)</f>
        <v/>
      </c>
      <c r="J28" s="29">
        <f>ROUND($B$5*$B$17,0)</f>
        <v/>
      </c>
      <c r="K28" s="29">
        <f>ROUND($B$5*$B$17,0)</f>
        <v/>
      </c>
    </row>
    <row r="29" ht="15" customHeight="1" s="20">
      <c r="A29" s="24" t="inlineStr">
        <is>
          <t xml:space="preserve">  Drop 2 Quantity</t>
        </is>
      </c>
      <c r="B29" s="29">
        <f>ROUND($B$5*$B$18,0)</f>
        <v/>
      </c>
      <c r="C29" s="29">
        <f>ROUND($B$5*$B$18,0)</f>
        <v/>
      </c>
      <c r="D29" s="29">
        <f>ROUND($B$5*$B$18,0)</f>
        <v/>
      </c>
      <c r="E29" s="29">
        <f>ROUND($B$5*$B$18,0)</f>
        <v/>
      </c>
      <c r="F29" s="29">
        <f>ROUND($B$5*$B$18,0)</f>
        <v/>
      </c>
      <c r="G29" s="29">
        <f>ROUND($B$5*$B$18,0)</f>
        <v/>
      </c>
      <c r="H29" s="29">
        <f>ROUND($B$5*$B$18,0)</f>
        <v/>
      </c>
      <c r="I29" s="29">
        <f>ROUND($B$5*$B$18,0)</f>
        <v/>
      </c>
      <c r="J29" s="29">
        <f>ROUND($B$5*$B$18,0)</f>
        <v/>
      </c>
      <c r="K29" s="29">
        <f>ROUND($B$5*$B$18,0)</f>
        <v/>
      </c>
    </row>
    <row r="30" ht="15" customHeight="1" s="20">
      <c r="A30" s="24" t="inlineStr">
        <is>
          <t xml:space="preserve">  Drop 3 Quantity</t>
        </is>
      </c>
      <c r="B30" s="29">
        <f>ROUND($B$5*$B$19,0)</f>
        <v/>
      </c>
      <c r="C30" s="29">
        <f>ROUND($B$5*$B$19,0)</f>
        <v/>
      </c>
      <c r="D30" s="29">
        <f>ROUND($B$5*$B$19,0)</f>
        <v/>
      </c>
      <c r="E30" s="29">
        <f>ROUND($B$5*$B$19,0)</f>
        <v/>
      </c>
      <c r="F30" s="29">
        <f>ROUND($B$5*$B$19,0)</f>
        <v/>
      </c>
      <c r="G30" s="29">
        <f>ROUND($B$5*$B$19,0)</f>
        <v/>
      </c>
      <c r="H30" s="29">
        <f>ROUND($B$5*$B$19,0)</f>
        <v/>
      </c>
      <c r="I30" s="29">
        <f>ROUND($B$5*$B$19,0)</f>
        <v/>
      </c>
      <c r="J30" s="29">
        <f>ROUND($B$5*$B$19,0)</f>
        <v/>
      </c>
      <c r="K30" s="29">
        <f>ROUND($B$5*$B$19,0)</f>
        <v/>
      </c>
    </row>
    <row r="31"/>
    <row r="32" ht="15" customHeight="1" s="20">
      <c r="A32" s="24" t="inlineStr">
        <is>
          <t xml:space="preserve">  Drop 1 Price (CHF)</t>
        </is>
      </c>
      <c r="B32" s="29">
        <f>$B$22</f>
        <v/>
      </c>
      <c r="C32" s="29">
        <f>IF(2028&lt;=2030,B32*(1+$B$7),B32*(1+$B$8))</f>
        <v/>
      </c>
      <c r="D32" s="29">
        <f>IF(2029&lt;=2030,C32*(1+$B$7),C32*(1+$B$8))</f>
        <v/>
      </c>
      <c r="E32" s="29">
        <f>IF(2030&lt;=2030,D32*(1+$B$7),D32*(1+$B$8))</f>
        <v/>
      </c>
      <c r="F32" s="29">
        <f>IF(2031&lt;=2030,E32*(1+$B$7),E32*(1+$B$8))</f>
        <v/>
      </c>
      <c r="G32" s="29">
        <f>IF(2032&lt;=2030,F32*(1+$B$7),F32*(1+$B$8))</f>
        <v/>
      </c>
      <c r="H32" s="29">
        <f>IF(2033&lt;=2030,G32*(1+$B$7),G32*(1+$B$8))</f>
        <v/>
      </c>
      <c r="I32" s="29">
        <f>IF(2034&lt;=2030,H32*(1+$B$7),H32*(1+$B$8))</f>
        <v/>
      </c>
      <c r="J32" s="29">
        <f>IF(2035&lt;=2030,I32*(1+$B$7),I32*(1+$B$8))</f>
        <v/>
      </c>
      <c r="K32" s="29">
        <f>IF(2036&lt;=2030,J32*(1+$B$7),J32*(1+$B$8))</f>
        <v/>
      </c>
    </row>
    <row r="33" ht="15" customHeight="1" s="20">
      <c r="A33" s="24" t="inlineStr">
        <is>
          <t xml:space="preserve">  Drop 2 Price (CHF)</t>
        </is>
      </c>
      <c r="B33" s="29">
        <f>$B$23</f>
        <v/>
      </c>
      <c r="C33" s="29">
        <f>IF(2028&lt;=2030,B33*(1+$B$7),B33*(1+$B$8))</f>
        <v/>
      </c>
      <c r="D33" s="29">
        <f>IF(2029&lt;=2030,C33*(1+$B$7),C33*(1+$B$8))</f>
        <v/>
      </c>
      <c r="E33" s="29">
        <f>IF(2030&lt;=2030,D33*(1+$B$7),D33*(1+$B$8))</f>
        <v/>
      </c>
      <c r="F33" s="29">
        <f>IF(2031&lt;=2030,E33*(1+$B$7),E33*(1+$B$8))</f>
        <v/>
      </c>
      <c r="G33" s="29">
        <f>IF(2032&lt;=2030,F33*(1+$B$7),F33*(1+$B$8))</f>
        <v/>
      </c>
      <c r="H33" s="29">
        <f>IF(2033&lt;=2030,G33*(1+$B$7),G33*(1+$B$8))</f>
        <v/>
      </c>
      <c r="I33" s="29">
        <f>IF(2034&lt;=2030,H33*(1+$B$7),H33*(1+$B$8))</f>
        <v/>
      </c>
      <c r="J33" s="29">
        <f>IF(2035&lt;=2030,I33*(1+$B$7),I33*(1+$B$8))</f>
        <v/>
      </c>
      <c r="K33" s="29">
        <f>IF(2036&lt;=2030,J33*(1+$B$7),J33*(1+$B$8))</f>
        <v/>
      </c>
    </row>
    <row r="34" ht="15" customHeight="1" s="20">
      <c r="A34" s="24" t="inlineStr">
        <is>
          <t xml:space="preserve">  Drop 3 Price (CHF)</t>
        </is>
      </c>
      <c r="B34" s="29">
        <f>$B$24</f>
        <v/>
      </c>
      <c r="C34" s="29">
        <f>IF(2028&lt;=2030,B34*(1+$B$7),B34*(1+$B$8))</f>
        <v/>
      </c>
      <c r="D34" s="29">
        <f>IF(2029&lt;=2030,C34*(1+$B$7),C34*(1+$B$8))</f>
        <v/>
      </c>
      <c r="E34" s="29">
        <f>IF(2030&lt;=2030,D34*(1+$B$7),D34*(1+$B$8))</f>
        <v/>
      </c>
      <c r="F34" s="29">
        <f>IF(2031&lt;=2030,E34*(1+$B$7),E34*(1+$B$8))</f>
        <v/>
      </c>
      <c r="G34" s="29">
        <f>IF(2032&lt;=2030,F34*(1+$B$7),F34*(1+$B$8))</f>
        <v/>
      </c>
      <c r="H34" s="29">
        <f>IF(2033&lt;=2030,G34*(1+$B$7),G34*(1+$B$8))</f>
        <v/>
      </c>
      <c r="I34" s="29">
        <f>IF(2034&lt;=2030,H34*(1+$B$7),H34*(1+$B$8))</f>
        <v/>
      </c>
      <c r="J34" s="29">
        <f>IF(2035&lt;=2030,I34*(1+$B$7),I34*(1+$B$8))</f>
        <v/>
      </c>
      <c r="K34" s="29">
        <f>IF(2036&lt;=2030,J34*(1+$B$7),J34*(1+$B$8))</f>
        <v/>
      </c>
    </row>
    <row r="35"/>
    <row r="36" ht="15" customHeight="1" s="20">
      <c r="A36" s="24" t="inlineStr">
        <is>
          <t xml:space="preserve">  Drop 1 Revenue</t>
        </is>
      </c>
      <c r="B36" s="29">
        <f>B28*B32</f>
        <v/>
      </c>
      <c r="C36" s="29">
        <f>C28*C32</f>
        <v/>
      </c>
      <c r="D36" s="29">
        <f>D28*D32</f>
        <v/>
      </c>
      <c r="E36" s="29">
        <f>E28*E32</f>
        <v/>
      </c>
      <c r="F36" s="29">
        <f>F28*F32</f>
        <v/>
      </c>
      <c r="G36" s="29">
        <f>G28*G32</f>
        <v/>
      </c>
      <c r="H36" s="29">
        <f>H28*H32</f>
        <v/>
      </c>
      <c r="I36" s="29">
        <f>I28*I32</f>
        <v/>
      </c>
      <c r="J36" s="29">
        <f>J28*J32</f>
        <v/>
      </c>
      <c r="K36" s="29">
        <f>K28*K32</f>
        <v/>
      </c>
    </row>
    <row r="37" ht="15" customHeight="1" s="20">
      <c r="A37" s="24" t="inlineStr">
        <is>
          <t xml:space="preserve">  Drop 2 Revenue</t>
        </is>
      </c>
      <c r="B37" s="29">
        <f>B29*B33</f>
        <v/>
      </c>
      <c r="C37" s="29">
        <f>C29*C33</f>
        <v/>
      </c>
      <c r="D37" s="29">
        <f>D29*D33</f>
        <v/>
      </c>
      <c r="E37" s="29">
        <f>E29*E33</f>
        <v/>
      </c>
      <c r="F37" s="29">
        <f>F29*F33</f>
        <v/>
      </c>
      <c r="G37" s="29">
        <f>G29*G33</f>
        <v/>
      </c>
      <c r="H37" s="29">
        <f>H29*H33</f>
        <v/>
      </c>
      <c r="I37" s="29">
        <f>I29*I33</f>
        <v/>
      </c>
      <c r="J37" s="29">
        <f>J29*J33</f>
        <v/>
      </c>
      <c r="K37" s="29">
        <f>K29*K33</f>
        <v/>
      </c>
    </row>
    <row r="38" ht="15" customHeight="1" s="20">
      <c r="A38" s="24" t="inlineStr">
        <is>
          <t xml:space="preserve">  Drop 3 Revenue</t>
        </is>
      </c>
      <c r="B38" s="29">
        <f>B30*B34</f>
        <v/>
      </c>
      <c r="C38" s="29">
        <f>C30*C34</f>
        <v/>
      </c>
      <c r="D38" s="29">
        <f>D30*D34</f>
        <v/>
      </c>
      <c r="E38" s="29">
        <f>E30*E34</f>
        <v/>
      </c>
      <c r="F38" s="29">
        <f>F30*F34</f>
        <v/>
      </c>
      <c r="G38" s="29">
        <f>G30*G34</f>
        <v/>
      </c>
      <c r="H38" s="29">
        <f>H30*H34</f>
        <v/>
      </c>
      <c r="I38" s="29">
        <f>I30*I34</f>
        <v/>
      </c>
      <c r="J38" s="29">
        <f>J30*J34</f>
        <v/>
      </c>
      <c r="K38" s="29">
        <f>K30*K34</f>
        <v/>
      </c>
    </row>
    <row r="39" ht="15" customHeight="1" s="20">
      <c r="A39" s="26" t="inlineStr">
        <is>
          <t>Gross Ticket Revenue</t>
        </is>
      </c>
      <c r="B39" s="31">
        <f>B36+B37+B38</f>
        <v/>
      </c>
      <c r="C39" s="31">
        <f>C36+C37+C38</f>
        <v/>
      </c>
      <c r="D39" s="31">
        <f>D36+D37+D38</f>
        <v/>
      </c>
      <c r="E39" s="31">
        <f>E36+E37+E38</f>
        <v/>
      </c>
      <c r="F39" s="31">
        <f>F36+F37+F38</f>
        <v/>
      </c>
      <c r="G39" s="31">
        <f>G36+G37+G38</f>
        <v/>
      </c>
      <c r="H39" s="31">
        <f>H36+H37+H38</f>
        <v/>
      </c>
      <c r="I39" s="31">
        <f>I36+I37+I38</f>
        <v/>
      </c>
      <c r="J39" s="31">
        <f>J36+J37+J38</f>
        <v/>
      </c>
      <c r="K39" s="31">
        <f>K36+K37+K38</f>
        <v/>
      </c>
    </row>
    <row r="40" ht="15" customHeight="1" s="20">
      <c r="A40" s="26" t="inlineStr">
        <is>
          <t>Net Ticket Revenue</t>
        </is>
      </c>
      <c r="B40" s="25">
        <f>B39*$B$6</f>
        <v/>
      </c>
      <c r="C40" s="25">
        <f>C39*$B$6</f>
        <v/>
      </c>
      <c r="D40" s="25">
        <f>D39*$B$6</f>
        <v/>
      </c>
      <c r="E40" s="25">
        <f>E39*$B$6</f>
        <v/>
      </c>
      <c r="F40" s="25">
        <f>F39*$B$6</f>
        <v/>
      </c>
      <c r="G40" s="25">
        <f>G39*$B$6</f>
        <v/>
      </c>
      <c r="H40" s="25">
        <f>H39*$B$6</f>
        <v/>
      </c>
      <c r="I40" s="25">
        <f>I39*$B$6</f>
        <v/>
      </c>
      <c r="J40" s="25">
        <f>J39*$B$6</f>
        <v/>
      </c>
      <c r="K40" s="25">
        <f>K39*$B$6</f>
        <v/>
      </c>
    </row>
    <row r="41"/>
    <row r="42" ht="15" customHeight="1" s="20">
      <c r="A42" s="22" t="inlineStr">
        <is>
          <t>SECTION 2: PARTNERSHIPS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</row>
    <row r="43" ht="15" customHeight="1" s="20">
      <c r="A43" s="27" t="n"/>
      <c r="B43" s="28" t="n">
        <v>2027</v>
      </c>
      <c r="C43" s="28" t="n">
        <v>2028</v>
      </c>
      <c r="D43" s="28" t="n">
        <v>2029</v>
      </c>
      <c r="E43" s="28" t="n">
        <v>2030</v>
      </c>
      <c r="F43" s="28" t="n">
        <v>2031</v>
      </c>
      <c r="G43" s="28" t="n">
        <v>2032</v>
      </c>
      <c r="H43" s="28" t="n">
        <v>2033</v>
      </c>
      <c r="I43" s="28" t="n">
        <v>2034</v>
      </c>
      <c r="J43" s="28" t="n">
        <v>2035</v>
      </c>
      <c r="K43" s="28" t="n">
        <v>2036</v>
      </c>
    </row>
    <row r="44" ht="15" customHeight="1" s="20">
      <c r="A44" s="24" t="inlineStr">
        <is>
          <t xml:space="preserve">  Presenting Partner — Price</t>
        </is>
      </c>
      <c r="B44" s="45" t="n">
        <v>0</v>
      </c>
      <c r="C44" s="45" t="n">
        <v>50000</v>
      </c>
      <c r="D44" s="45" t="n">
        <v>50000</v>
      </c>
      <c r="E44" s="45" t="n">
        <v>50000</v>
      </c>
      <c r="F44" s="45" t="n">
        <v>50000</v>
      </c>
    </row>
    <row r="45" ht="15" customHeight="1" s="20">
      <c r="A45" s="24" t="inlineStr">
        <is>
          <t xml:space="preserve">  Presenting Partner — Count</t>
        </is>
      </c>
      <c r="B45" s="45" t="n">
        <v>0</v>
      </c>
      <c r="C45" s="45" t="n">
        <v>1</v>
      </c>
      <c r="D45" s="45" t="n">
        <v>1</v>
      </c>
      <c r="E45" s="45" t="n">
        <v>1</v>
      </c>
      <c r="F45" s="45" t="n">
        <v>1</v>
      </c>
    </row>
    <row r="46" ht="15" customHeight="1" s="20">
      <c r="A46" s="24" t="inlineStr">
        <is>
          <t xml:space="preserve">  Presenting Partner — Revenue</t>
        </is>
      </c>
      <c r="B46" s="29">
        <f>B44*B45</f>
        <v/>
      </c>
      <c r="C46" s="29">
        <f>C44*C45</f>
        <v/>
      </c>
      <c r="D46" s="29">
        <f>D44*D45</f>
        <v/>
      </c>
      <c r="E46" s="29">
        <f>E44*E45</f>
        <v/>
      </c>
      <c r="F46" s="29">
        <f>F44*F45</f>
        <v/>
      </c>
    </row>
    <row r="47"/>
    <row r="48" ht="15" customHeight="1" s="20">
      <c r="A48" s="24" t="inlineStr">
        <is>
          <t xml:space="preserve">  Partner — Price</t>
        </is>
      </c>
      <c r="B48" s="45" t="n">
        <v>15000</v>
      </c>
      <c r="C48" s="45" t="n">
        <v>0</v>
      </c>
      <c r="D48" s="45" t="n">
        <v>15000</v>
      </c>
      <c r="E48" s="45" t="n">
        <v>15000</v>
      </c>
      <c r="F48" s="45" t="n">
        <v>15000</v>
      </c>
    </row>
    <row r="49" ht="15" customHeight="1" s="20">
      <c r="A49" s="24" t="inlineStr">
        <is>
          <t xml:space="preserve">  Partner — Count</t>
        </is>
      </c>
      <c r="B49" s="45" t="n">
        <v>2</v>
      </c>
      <c r="C49" s="45" t="n">
        <v>0</v>
      </c>
      <c r="D49" s="45" t="n">
        <v>1</v>
      </c>
      <c r="E49" s="45" t="n">
        <v>2</v>
      </c>
      <c r="F49" s="45" t="n">
        <v>3</v>
      </c>
    </row>
    <row r="50" ht="15" customHeight="1" s="20">
      <c r="A50" s="24" t="inlineStr">
        <is>
          <t xml:space="preserve">  Partner — Revenue</t>
        </is>
      </c>
      <c r="B50" s="29">
        <f>B48*B49</f>
        <v/>
      </c>
      <c r="C50" s="29">
        <f>C48*C49</f>
        <v/>
      </c>
      <c r="D50" s="29">
        <f>D48*D49</f>
        <v/>
      </c>
      <c r="E50" s="29">
        <f>E48*E49</f>
        <v/>
      </c>
      <c r="F50" s="29">
        <f>F48*F49</f>
        <v/>
      </c>
    </row>
    <row r="51"/>
    <row r="52" ht="15" customHeight="1" s="20">
      <c r="A52" s="24" t="inlineStr">
        <is>
          <t xml:space="preserve">  Supporting Partner — Price</t>
        </is>
      </c>
      <c r="B52" s="45" t="n">
        <v>0</v>
      </c>
      <c r="C52" s="45" t="n">
        <v>5000</v>
      </c>
      <c r="D52" s="45" t="n">
        <v>5000</v>
      </c>
      <c r="E52" s="45" t="n">
        <v>5000</v>
      </c>
      <c r="F52" s="45" t="n">
        <v>5000</v>
      </c>
    </row>
    <row r="53" ht="15" customHeight="1" s="20">
      <c r="A53" s="24" t="inlineStr">
        <is>
          <t xml:space="preserve">  Supporting Partner — Count</t>
        </is>
      </c>
      <c r="B53" s="45" t="n">
        <v>0</v>
      </c>
      <c r="C53" s="45" t="n">
        <v>1</v>
      </c>
      <c r="D53" s="45" t="n">
        <v>2</v>
      </c>
      <c r="E53" s="45" t="n">
        <v>3</v>
      </c>
      <c r="F53" s="45" t="n">
        <v>3</v>
      </c>
    </row>
    <row r="54" ht="15" customHeight="1" s="20">
      <c r="A54" s="24" t="inlineStr">
        <is>
          <t xml:space="preserve">  Supporting Partner — Revenue</t>
        </is>
      </c>
      <c r="B54" s="29">
        <f>B52*B53</f>
        <v/>
      </c>
      <c r="C54" s="29">
        <f>C52*C53</f>
        <v/>
      </c>
      <c r="D54" s="29">
        <f>D52*D53</f>
        <v/>
      </c>
      <c r="E54" s="29">
        <f>E52*E53</f>
        <v/>
      </c>
      <c r="F54" s="29">
        <f>F52*F53</f>
        <v/>
      </c>
    </row>
    <row r="55"/>
    <row r="56" ht="15" customHeight="1" s="20">
      <c r="A56" s="26" t="inlineStr">
        <is>
          <t>Partnership Total</t>
        </is>
      </c>
      <c r="B56" s="31">
        <f>B46+B50+B54</f>
        <v/>
      </c>
      <c r="C56" s="31">
        <f>C46+C50+C54</f>
        <v/>
      </c>
      <c r="D56" s="31">
        <f>D46+D50+D54</f>
        <v/>
      </c>
      <c r="E56" s="31">
        <f>E46+E50+E54</f>
        <v/>
      </c>
      <c r="F56" s="31">
        <f>F46+F50+F54</f>
        <v/>
      </c>
      <c r="G56" s="31">
        <f>F56*(1+$B$10)^1</f>
        <v/>
      </c>
      <c r="H56" s="31">
        <f>F56*(1+$B$10)^2</f>
        <v/>
      </c>
      <c r="I56" s="31">
        <f>F56*(1+$B$10)^3</f>
        <v/>
      </c>
      <c r="J56" s="31">
        <f>F56*(1+$B$10)^4</f>
        <v/>
      </c>
      <c r="K56" s="31">
        <f>F56*(1+$B$10)^5</f>
        <v/>
      </c>
    </row>
    <row r="57" ht="15" customHeight="1" s="20">
      <c r="A57" s="49" t="inlineStr">
        <is>
          <t xml:space="preserve">  2027-2031: Tier breakdown (editable). 2032-2036: Auto-calculated from 2031 total at Partnership Growth Rate.</t>
        </is>
      </c>
    </row>
    <row r="58"/>
    <row r="59" ht="15" customHeight="1" s="20">
      <c r="A59" s="22" t="inlineStr">
        <is>
          <t>SECTION 3: ASA CONTRIBUTION</t>
        </is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</row>
    <row r="60" ht="15" customHeight="1" s="20">
      <c r="A60" s="27" t="n"/>
      <c r="B60" s="28" t="n">
        <v>2027</v>
      </c>
      <c r="C60" s="28" t="n">
        <v>2028</v>
      </c>
      <c r="D60" s="28" t="n">
        <v>2029</v>
      </c>
      <c r="E60" s="28" t="n">
        <v>2030</v>
      </c>
      <c r="F60" s="28" t="n">
        <v>2031</v>
      </c>
      <c r="G60" s="28" t="n">
        <v>2032</v>
      </c>
      <c r="H60" s="28" t="n">
        <v>2033</v>
      </c>
      <c r="I60" s="28" t="n">
        <v>2034</v>
      </c>
      <c r="J60" s="28" t="n">
        <v>2035</v>
      </c>
      <c r="K60" s="28" t="n">
        <v>2036</v>
      </c>
    </row>
    <row r="61" ht="15" customHeight="1" s="20">
      <c r="A61" s="26" t="inlineStr">
        <is>
          <t>ASA Contribution (manual input)</t>
        </is>
      </c>
      <c r="B61" s="45" t="n">
        <v>10000</v>
      </c>
      <c r="C61" s="45" t="n">
        <v>12500</v>
      </c>
      <c r="D61" s="45" t="n">
        <v>15000</v>
      </c>
      <c r="E61" s="45" t="n">
        <v>20000</v>
      </c>
      <c r="F61" s="45" t="n">
        <v>25000</v>
      </c>
      <c r="G61" s="45" t="n">
        <v>30000</v>
      </c>
      <c r="H61" s="45" t="n">
        <v>30000</v>
      </c>
      <c r="I61" s="45" t="n">
        <v>35000</v>
      </c>
      <c r="J61" s="45" t="n">
        <v>40000</v>
      </c>
      <c r="K61" s="45" t="n">
        <v>45000</v>
      </c>
    </row>
    <row r="62" ht="15" customHeight="1" s="20">
      <c r="A62" s="49" t="inlineStr">
        <is>
          <t xml:space="preserve">  ASA partnership contribution follows a 3-phase negotiation schedule (Build / Grow / Anchor). Values are irregular and entered manually per year.</t>
        </is>
      </c>
    </row>
    <row r="63"/>
    <row r="64" ht="15" customHeight="1" s="20">
      <c r="A64" s="50" t="inlineStr">
        <is>
          <t>SECTION 4: BAR / F&amp;B REVENUE</t>
        </is>
      </c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</row>
    <row r="65" ht="15" customHeight="1" s="20">
      <c r="A65" s="37" t="inlineStr">
        <is>
          <t xml:space="preserve">  Share rates are currently set to 0%. Aura does not take a share of bar/food revenue. If a share agreement is negotiated, change the share rate.</t>
        </is>
      </c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</row>
    <row r="67" ht="15" customHeight="1" s="20">
      <c r="A67" s="33" t="n"/>
      <c r="B67" s="51" t="n">
        <v>2027</v>
      </c>
      <c r="C67" s="51" t="n">
        <v>2028</v>
      </c>
      <c r="D67" s="51" t="n">
        <v>2029</v>
      </c>
      <c r="E67" s="51" t="n">
        <v>2030</v>
      </c>
      <c r="F67" s="51" t="n">
        <v>2031</v>
      </c>
      <c r="G67" s="51" t="n">
        <v>2032</v>
      </c>
      <c r="H67" s="51" t="n">
        <v>2033</v>
      </c>
      <c r="I67" s="51" t="n">
        <v>2034</v>
      </c>
      <c r="J67" s="51" t="n">
        <v>2035</v>
      </c>
      <c r="K67" s="51" t="n">
        <v>2036</v>
      </c>
    </row>
    <row r="68" ht="15" customHeight="1" s="20">
      <c r="A68" s="38" t="inlineStr">
        <is>
          <t xml:space="preserve">  Friday Night: Coffee + Drinks — Guest Count</t>
        </is>
      </c>
      <c r="B68" s="52" t="n">
        <v>150</v>
      </c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</row>
    <row r="69" ht="15" customHeight="1" s="20">
      <c r="A69" s="38" t="inlineStr">
        <is>
          <t xml:space="preserve">  Friday Night: Coffee + Drinks — Per-person Spend</t>
        </is>
      </c>
      <c r="B69" s="52" t="n">
        <v>50</v>
      </c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 ht="15" customHeight="1" s="20">
      <c r="A70" s="38" t="inlineStr">
        <is>
          <t xml:space="preserve">  Friday Night: Coffee + Drinks — Share Rate</t>
        </is>
      </c>
      <c r="B70" s="39" t="n">
        <v>0</v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</row>
    <row r="71" ht="15" customHeight="1" s="20">
      <c r="A71" s="38" t="inlineStr">
        <is>
          <t xml:space="preserve">  Friday Night: Coffee + Drinks — Est. Total Sales (reference)</t>
        </is>
      </c>
      <c r="B71" s="53">
        <f>B68*B69</f>
        <v/>
      </c>
      <c r="C71" s="53">
        <f>B71*(1+$B$9)</f>
        <v/>
      </c>
      <c r="D71" s="53">
        <f>C71*(1+$B$9)</f>
        <v/>
      </c>
      <c r="E71" s="53">
        <f>D71*(1+$B$9)</f>
        <v/>
      </c>
      <c r="F71" s="53">
        <f>E71*(1+$B$9)</f>
        <v/>
      </c>
      <c r="G71" s="53">
        <f>F71*(1+$B$9)</f>
        <v/>
      </c>
      <c r="H71" s="53">
        <f>G71*(1+$B$9)</f>
        <v/>
      </c>
      <c r="I71" s="53">
        <f>H71*(1+$B$9)</f>
        <v/>
      </c>
      <c r="J71" s="53">
        <f>I71*(1+$B$9)</f>
        <v/>
      </c>
      <c r="K71" s="53">
        <f>J71*(1+$B$9)</f>
        <v/>
      </c>
    </row>
    <row r="72" ht="15" customHeight="1" s="20">
      <c r="A72" s="38" t="inlineStr">
        <is>
          <t xml:space="preserve">  Friday Night: Coffee + Drinks — Aura Revenue</t>
        </is>
      </c>
      <c r="B72" s="53">
        <f>B71*$B70</f>
        <v/>
      </c>
      <c r="C72" s="53">
        <f>C71*$B70</f>
        <v/>
      </c>
      <c r="D72" s="53">
        <f>D71*$B70</f>
        <v/>
      </c>
      <c r="E72" s="53">
        <f>E71*$B70</f>
        <v/>
      </c>
      <c r="F72" s="53">
        <f>F71*$B70</f>
        <v/>
      </c>
      <c r="G72" s="53">
        <f>G71*$B70</f>
        <v/>
      </c>
      <c r="H72" s="53">
        <f>H71*$B70</f>
        <v/>
      </c>
      <c r="I72" s="53">
        <f>I71*$B70</f>
        <v/>
      </c>
      <c r="J72" s="53">
        <f>J71*$B70</f>
        <v/>
      </c>
      <c r="K72" s="53">
        <f>K71*$B70</f>
        <v/>
      </c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 ht="15" customHeight="1" s="20">
      <c r="A74" s="38" t="inlineStr">
        <is>
          <t xml:space="preserve">  Saturday Day: Drinks — Guest Count</t>
        </is>
      </c>
      <c r="B74" s="52" t="n">
        <v>280</v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</row>
    <row r="75" ht="15" customHeight="1" s="20">
      <c r="A75" s="38" t="inlineStr">
        <is>
          <t xml:space="preserve">  Saturday Day: Drinks — Per-person Spend</t>
        </is>
      </c>
      <c r="B75" s="52" t="n">
        <v>20</v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 ht="15" customHeight="1" s="20">
      <c r="A76" s="38" t="inlineStr">
        <is>
          <t xml:space="preserve">  Saturday Day: Drinks — Share Rate</t>
        </is>
      </c>
      <c r="B76" s="39" t="n">
        <v>0</v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</row>
    <row r="77" ht="15" customHeight="1" s="20">
      <c r="A77" s="38" t="inlineStr">
        <is>
          <t xml:space="preserve">  Saturday Day: Drinks — Est. Total Sales (reference)</t>
        </is>
      </c>
      <c r="B77" s="53">
        <f>B74*B75</f>
        <v/>
      </c>
      <c r="C77" s="53">
        <f>B77*(1+$B$9)</f>
        <v/>
      </c>
      <c r="D77" s="53">
        <f>C77*(1+$B$9)</f>
        <v/>
      </c>
      <c r="E77" s="53">
        <f>D77*(1+$B$9)</f>
        <v/>
      </c>
      <c r="F77" s="53">
        <f>E77*(1+$B$9)</f>
        <v/>
      </c>
      <c r="G77" s="53">
        <f>F77*(1+$B$9)</f>
        <v/>
      </c>
      <c r="H77" s="53">
        <f>G77*(1+$B$9)</f>
        <v/>
      </c>
      <c r="I77" s="53">
        <f>H77*(1+$B$9)</f>
        <v/>
      </c>
      <c r="J77" s="53">
        <f>I77*(1+$B$9)</f>
        <v/>
      </c>
      <c r="K77" s="53">
        <f>J77*(1+$B$9)</f>
        <v/>
      </c>
    </row>
    <row r="78" ht="15" customHeight="1" s="20">
      <c r="A78" s="38" t="inlineStr">
        <is>
          <t xml:space="preserve">  Saturday Day: Drinks — Aura Revenue</t>
        </is>
      </c>
      <c r="B78" s="53">
        <f>B77*$B76</f>
        <v/>
      </c>
      <c r="C78" s="53">
        <f>C77*$B76</f>
        <v/>
      </c>
      <c r="D78" s="53">
        <f>D77*$B76</f>
        <v/>
      </c>
      <c r="E78" s="53">
        <f>E77*$B76</f>
        <v/>
      </c>
      <c r="F78" s="53">
        <f>F77*$B76</f>
        <v/>
      </c>
      <c r="G78" s="53">
        <f>G77*$B76</f>
        <v/>
      </c>
      <c r="H78" s="53">
        <f>H77*$B76</f>
        <v/>
      </c>
      <c r="I78" s="53">
        <f>I77*$B76</f>
        <v/>
      </c>
      <c r="J78" s="53">
        <f>J77*$B76</f>
        <v/>
      </c>
      <c r="K78" s="53">
        <f>K77*$B76</f>
        <v/>
      </c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</row>
    <row r="80" ht="15" customHeight="1" s="20">
      <c r="A80" s="38" t="inlineStr">
        <is>
          <t xml:space="preserve">  Saturday Day: Food — Guest Count</t>
        </is>
      </c>
      <c r="B80" s="52" t="n">
        <v>280</v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</row>
    <row r="81" ht="15" customHeight="1" s="20">
      <c r="A81" s="38" t="inlineStr">
        <is>
          <t xml:space="preserve">  Saturday Day: Food — Per-person Spend</t>
        </is>
      </c>
      <c r="B81" s="52" t="n">
        <v>50</v>
      </c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</row>
    <row r="82" ht="15" customHeight="1" s="20">
      <c r="A82" s="38" t="inlineStr">
        <is>
          <t xml:space="preserve">  Saturday Day: Food — Share Rate</t>
        </is>
      </c>
      <c r="B82" s="39" t="n">
        <v>0</v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</row>
    <row r="83" ht="15" customHeight="1" s="20">
      <c r="A83" s="38" t="inlineStr">
        <is>
          <t xml:space="preserve">  Saturday Day: Food — Est. Total Sales (reference)</t>
        </is>
      </c>
      <c r="B83" s="53">
        <f>B80*B81</f>
        <v/>
      </c>
      <c r="C83" s="53">
        <f>B83*(1+$B$9)</f>
        <v/>
      </c>
      <c r="D83" s="53">
        <f>C83*(1+$B$9)</f>
        <v/>
      </c>
      <c r="E83" s="53">
        <f>D83*(1+$B$9)</f>
        <v/>
      </c>
      <c r="F83" s="53">
        <f>E83*(1+$B$9)</f>
        <v/>
      </c>
      <c r="G83" s="53">
        <f>F83*(1+$B$9)</f>
        <v/>
      </c>
      <c r="H83" s="53">
        <f>G83*(1+$B$9)</f>
        <v/>
      </c>
      <c r="I83" s="53">
        <f>H83*(1+$B$9)</f>
        <v/>
      </c>
      <c r="J83" s="53">
        <f>I83*(1+$B$9)</f>
        <v/>
      </c>
      <c r="K83" s="53">
        <f>J83*(1+$B$9)</f>
        <v/>
      </c>
    </row>
    <row r="84">
      <c r="A84" s="41" t="inlineStr">
        <is>
          <t xml:space="preserve">  Saturday Day: Food — Aura Revenue</t>
        </is>
      </c>
      <c r="B84" s="34">
        <f>B83*$B82</f>
        <v/>
      </c>
      <c r="C84" s="34">
        <f>C83*$B82</f>
        <v/>
      </c>
      <c r="D84" s="34">
        <f>D83*$B82</f>
        <v/>
      </c>
      <c r="E84" s="34">
        <f>E83*$B82</f>
        <v/>
      </c>
      <c r="F84" s="34">
        <f>F83*$B82</f>
        <v/>
      </c>
      <c r="G84" s="34">
        <f>G83*$B82</f>
        <v/>
      </c>
      <c r="H84" s="34">
        <f>H83*$B82</f>
        <v/>
      </c>
      <c r="I84" s="34">
        <f>I83*$B82</f>
        <v/>
      </c>
      <c r="J84" s="34">
        <f>J83*$B82</f>
        <v/>
      </c>
      <c r="K84" s="34">
        <f>K83*$B82</f>
        <v/>
      </c>
    </row>
    <row r="85" ht="15" customHeight="1" s="20">
      <c r="A85" s="33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</row>
    <row r="86">
      <c r="A86" s="41" t="inlineStr">
        <is>
          <t xml:space="preserve">  Saturday Night: Drinks — Guest Count</t>
        </is>
      </c>
      <c r="B86" s="42" t="n">
        <v>150</v>
      </c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</row>
    <row r="87" ht="15" customHeight="1" s="20">
      <c r="A87" s="38" t="inlineStr">
        <is>
          <t xml:space="preserve">  Saturday Night: Drinks — Per-person Spend</t>
        </is>
      </c>
      <c r="B87" s="55" t="n">
        <v>50</v>
      </c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</row>
    <row r="88" ht="15" customHeight="1" s="20">
      <c r="A88" s="38" t="inlineStr">
        <is>
          <t xml:space="preserve">  Saturday Night: Drinks — Share Rate</t>
        </is>
      </c>
      <c r="B88" s="56" t="n">
        <v>0</v>
      </c>
      <c r="C88" s="57" t="n"/>
      <c r="D88" s="57" t="n"/>
      <c r="E88" s="57" t="n"/>
      <c r="F88" s="57" t="n"/>
      <c r="G88" s="57" t="n"/>
      <c r="H88" s="57" t="n"/>
      <c r="I88" s="57" t="n"/>
      <c r="J88" s="57" t="n"/>
      <c r="K88" s="57" t="n"/>
    </row>
    <row r="89" ht="15" customHeight="1" s="20">
      <c r="A89" s="38" t="inlineStr">
        <is>
          <t xml:space="preserve">  Saturday Night: Drinks — Est. Total Sales (reference)</t>
        </is>
      </c>
      <c r="B89" s="53">
        <f>B86*B87</f>
        <v/>
      </c>
      <c r="C89" s="53">
        <f>B89*(1+$B$9)</f>
        <v/>
      </c>
      <c r="D89" s="53">
        <f>C89*(1+$B$9)</f>
        <v/>
      </c>
      <c r="E89" s="53">
        <f>D89*(1+$B$9)</f>
        <v/>
      </c>
      <c r="F89" s="53">
        <f>E89*(1+$B$9)</f>
        <v/>
      </c>
      <c r="G89" s="53">
        <f>F89*(1+$B$9)</f>
        <v/>
      </c>
      <c r="H89" s="53">
        <f>G89*(1+$B$9)</f>
        <v/>
      </c>
      <c r="I89" s="53">
        <f>H89*(1+$B$9)</f>
        <v/>
      </c>
      <c r="J89" s="53">
        <f>I89*(1+$B$9)</f>
        <v/>
      </c>
      <c r="K89" s="53">
        <f>J89*(1+$B$9)</f>
        <v/>
      </c>
    </row>
    <row r="90" ht="15" customHeight="1" s="20">
      <c r="A90" s="38" t="inlineStr">
        <is>
          <t xml:space="preserve">  Saturday Night: Drinks — Aura Revenue</t>
        </is>
      </c>
      <c r="B90" s="34">
        <f>B89*$B88</f>
        <v/>
      </c>
      <c r="C90" s="34">
        <f>C89*$B88</f>
        <v/>
      </c>
      <c r="D90" s="34">
        <f>D89*$B88</f>
        <v/>
      </c>
      <c r="E90" s="34">
        <f>E89*$B88</f>
        <v/>
      </c>
      <c r="F90" s="34">
        <f>F89*$B88</f>
        <v/>
      </c>
      <c r="G90" s="34">
        <f>G89*$B88</f>
        <v/>
      </c>
      <c r="H90" s="34">
        <f>H89*$B88</f>
        <v/>
      </c>
      <c r="I90" s="34">
        <f>I89*$B88</f>
        <v/>
      </c>
      <c r="J90" s="34">
        <f>J89*$B88</f>
        <v/>
      </c>
      <c r="K90" s="34">
        <f>K89*$B88</f>
        <v/>
      </c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</row>
    <row r="92" ht="15" customHeight="1" s="20">
      <c r="A92" s="38" t="inlineStr">
        <is>
          <t xml:space="preserve">  Sunday Coffee — Guest Count</t>
        </is>
      </c>
      <c r="B92" s="55" t="n">
        <v>80</v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</row>
    <row r="93" ht="15" customHeight="1" s="20">
      <c r="A93" s="38" t="inlineStr">
        <is>
          <t xml:space="preserve">  Sunday Coffee — Per-person Spend</t>
        </is>
      </c>
      <c r="B93" s="56" t="n">
        <v>8</v>
      </c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</row>
    <row r="94" ht="15" customHeight="1" s="20">
      <c r="A94" s="38" t="inlineStr">
        <is>
          <t xml:space="preserve">  Sunday Coffee — Share Rate</t>
        </is>
      </c>
      <c r="B94" s="52" t="n">
        <v>0</v>
      </c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</row>
    <row r="95" ht="15" customHeight="1" s="20">
      <c r="A95" s="38" t="inlineStr">
        <is>
          <t xml:space="preserve">  Sunday Coffee — Est. Total Sales (reference)</t>
        </is>
      </c>
      <c r="B95" s="34">
        <f>B92*B93</f>
        <v/>
      </c>
      <c r="C95" s="34">
        <f>B95*(1+$B$9)</f>
        <v/>
      </c>
      <c r="D95" s="34">
        <f>C95*(1+$B$9)</f>
        <v/>
      </c>
      <c r="E95" s="34">
        <f>D95*(1+$B$9)</f>
        <v/>
      </c>
      <c r="F95" s="34">
        <f>E95*(1+$B$9)</f>
        <v/>
      </c>
      <c r="G95" s="34">
        <f>F95*(1+$B$9)</f>
        <v/>
      </c>
      <c r="H95" s="34">
        <f>G95*(1+$B$9)</f>
        <v/>
      </c>
      <c r="I95" s="34">
        <f>H95*(1+$B$9)</f>
        <v/>
      </c>
      <c r="J95" s="34">
        <f>I95*(1+$B$9)</f>
        <v/>
      </c>
      <c r="K95" s="34">
        <f>J95*(1+$B$9)</f>
        <v/>
      </c>
    </row>
    <row r="96">
      <c r="A96" s="41" t="inlineStr">
        <is>
          <t xml:space="preserve">  Sunday Coffee — Aura Revenue</t>
        </is>
      </c>
      <c r="B96" s="34">
        <f>B95*$B94</f>
        <v/>
      </c>
      <c r="C96" s="34">
        <f>C95*$B94</f>
        <v/>
      </c>
      <c r="D96" s="34">
        <f>D95*$B94</f>
        <v/>
      </c>
      <c r="E96" s="34">
        <f>E95*$B94</f>
        <v/>
      </c>
      <c r="F96" s="34">
        <f>F95*$B94</f>
        <v/>
      </c>
      <c r="G96" s="34">
        <f>G95*$B94</f>
        <v/>
      </c>
      <c r="H96" s="34">
        <f>H95*$B94</f>
        <v/>
      </c>
      <c r="I96" s="34">
        <f>I95*$B94</f>
        <v/>
      </c>
      <c r="J96" s="34">
        <f>J95*$B94</f>
        <v/>
      </c>
      <c r="K96" s="34">
        <f>K95*$B94</f>
        <v/>
      </c>
    </row>
    <row r="97" ht="15" customHeight="1" s="20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</row>
    <row r="98" ht="15" customHeight="1" s="20">
      <c r="A98" s="36" t="inlineStr">
        <is>
          <t>Bar/F&amp;B Total</t>
        </is>
      </c>
      <c r="B98" s="57">
        <f>B72+B78+B84+B90+B96</f>
        <v/>
      </c>
      <c r="C98" s="57">
        <f>C72+C78+C84+C90+C96</f>
        <v/>
      </c>
      <c r="D98" s="57">
        <f>D72+D78+D84+D90+D96</f>
        <v/>
      </c>
      <c r="E98" s="57">
        <f>E72+E78+E84+E90+E96</f>
        <v/>
      </c>
      <c r="F98" s="57">
        <f>F72+F78+F84+F90+F96</f>
        <v/>
      </c>
      <c r="G98" s="57">
        <f>G72+G78+G84+G90+G96</f>
        <v/>
      </c>
      <c r="H98" s="57">
        <f>H72+H78+H84+H90+H96</f>
        <v/>
      </c>
      <c r="I98" s="57">
        <f>I72+I78+I84+I90+I96</f>
        <v/>
      </c>
      <c r="J98" s="57">
        <f>J72+J78+J84+J90+J96</f>
        <v/>
      </c>
      <c r="K98" s="57">
        <f>K72+K78+K84+K90+K96</f>
        <v/>
      </c>
    </row>
    <row r="99" ht="15" customHeight="1" s="20">
      <c r="A99" s="33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</row>
    <row r="100" ht="15" customHeight="1" s="20">
      <c r="A100" s="50" t="inlineStr">
        <is>
          <t>SECTION 5: DINNER REVENUE</t>
        </is>
      </c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</row>
    <row r="101" ht="15" customHeight="1" s="20">
      <c r="A101" s="33" t="n"/>
      <c r="B101" s="58" t="n">
        <v>2027</v>
      </c>
      <c r="C101" s="58" t="n">
        <v>2028</v>
      </c>
      <c r="D101" s="58" t="n">
        <v>2029</v>
      </c>
      <c r="E101" s="58" t="n">
        <v>2030</v>
      </c>
      <c r="F101" s="58" t="n">
        <v>2031</v>
      </c>
      <c r="G101" s="58" t="n">
        <v>2032</v>
      </c>
      <c r="H101" s="58" t="n">
        <v>2033</v>
      </c>
      <c r="I101" s="58" t="n">
        <v>2034</v>
      </c>
      <c r="J101" s="58" t="n">
        <v>2035</v>
      </c>
      <c r="K101" s="58" t="n">
        <v>2036</v>
      </c>
    </row>
    <row r="102">
      <c r="A102" s="41" t="inlineStr">
        <is>
          <t>Dinner Revenue (manual input)</t>
        </is>
      </c>
      <c r="B102" s="59" t="n">
        <v>0</v>
      </c>
      <c r="C102" s="59" t="n">
        <v>0</v>
      </c>
      <c r="D102" s="59" t="n">
        <v>0</v>
      </c>
      <c r="E102" s="59" t="n">
        <v>0</v>
      </c>
      <c r="F102" s="59" t="n">
        <v>0</v>
      </c>
      <c r="G102" s="59" t="n">
        <v>0</v>
      </c>
      <c r="H102" s="59" t="n">
        <v>0</v>
      </c>
      <c r="I102" s="59" t="n">
        <v>0</v>
      </c>
      <c r="J102" s="59" t="n">
        <v>0</v>
      </c>
      <c r="K102" s="59" t="n">
        <v>0</v>
      </c>
    </row>
    <row r="103">
      <c r="A103" s="44" t="inlineStr">
        <is>
          <t xml:space="preserve">  BP: 'Dinner is invite-only, sponsor-funded, never sold.' If a dinner-specific sponsor appears, it goes under Partnerships.</t>
        </is>
      </c>
    </row>
    <row r="104"/>
    <row r="105">
      <c r="A105" s="60" t="inlineStr">
        <is>
          <t>SECTION 6: OTHER REVENUE</t>
        </is>
      </c>
    </row>
    <row r="106">
      <c r="B106" s="61" t="n">
        <v>2027</v>
      </c>
      <c r="C106" s="61" t="n">
        <v>2028</v>
      </c>
      <c r="D106" s="61" t="n">
        <v>2029</v>
      </c>
      <c r="E106" s="61" t="n">
        <v>2030</v>
      </c>
      <c r="F106" s="61" t="n">
        <v>2031</v>
      </c>
      <c r="G106" s="61" t="n">
        <v>2032</v>
      </c>
      <c r="H106" s="61" t="n">
        <v>2033</v>
      </c>
      <c r="I106" s="61" t="n">
        <v>2034</v>
      </c>
      <c r="J106" s="61" t="n">
        <v>2035</v>
      </c>
      <c r="K106" s="61" t="n">
        <v>2036</v>
      </c>
    </row>
    <row r="107">
      <c r="A107" s="41" t="inlineStr">
        <is>
          <t>Other Revenue</t>
        </is>
      </c>
      <c r="B107" s="59" t="n">
        <v>2000</v>
      </c>
      <c r="C107">
        <f>B107*(1+'P&amp;L'!$B$4)</f>
        <v/>
      </c>
      <c r="D107">
        <f>C107*(1+'P&amp;L'!$B$4)</f>
        <v/>
      </c>
      <c r="E107">
        <f>D107*(1+'P&amp;L'!$B$4)</f>
        <v/>
      </c>
      <c r="F107">
        <f>E107*(1+'P&amp;L'!$B$4)</f>
        <v/>
      </c>
      <c r="G107">
        <f>F107*(1+'P&amp;L'!$B$4)</f>
        <v/>
      </c>
      <c r="H107">
        <f>G107*(1+'P&amp;L'!$B$4)</f>
        <v/>
      </c>
      <c r="I107">
        <f>H107*(1+'P&amp;L'!$B$4)</f>
        <v/>
      </c>
      <c r="J107">
        <f>I107*(1+'P&amp;L'!$B$4)</f>
        <v/>
      </c>
      <c r="K107">
        <f>J107*(1+'P&amp;L'!$B$4)</f>
        <v/>
      </c>
    </row>
    <row r="108">
      <c r="A108" s="44" t="inlineStr">
        <is>
          <t xml:space="preserve">  Other Revenue grows with General Inflation Rate (P&amp;L sheet). Contents: add-ons, upselling, merchandise.</t>
        </is>
      </c>
    </row>
    <row r="109"/>
    <row r="110">
      <c r="A110" s="60" t="inlineStr">
        <is>
          <t>REVENUE TOTALS</t>
        </is>
      </c>
    </row>
    <row r="111">
      <c r="B111" s="61" t="n">
        <v>2027</v>
      </c>
      <c r="C111" s="61" t="n">
        <v>2028</v>
      </c>
      <c r="D111" s="61" t="n">
        <v>2029</v>
      </c>
      <c r="E111" s="61" t="n">
        <v>2030</v>
      </c>
      <c r="F111" s="61" t="n">
        <v>2031</v>
      </c>
      <c r="G111" s="61" t="n">
        <v>2032</v>
      </c>
      <c r="H111" s="61" t="n">
        <v>2033</v>
      </c>
      <c r="I111" s="61" t="n">
        <v>2034</v>
      </c>
      <c r="J111" s="61" t="n">
        <v>2035</v>
      </c>
      <c r="K111" s="61" t="n">
        <v>2036</v>
      </c>
    </row>
    <row r="112">
      <c r="A112" s="61" t="inlineStr">
        <is>
          <t>TOTAL WINTER REVENUE</t>
        </is>
      </c>
      <c r="B112">
        <f>B40+B56+B61+B98+B102+B107</f>
        <v/>
      </c>
      <c r="C112">
        <f>C40+C56+C61+C98+C102+C107</f>
        <v/>
      </c>
      <c r="D112">
        <f>D40+D56+D61+D98+D102+D107</f>
        <v/>
      </c>
      <c r="E112">
        <f>E40+E56+E61+E98+E102+E107</f>
        <v/>
      </c>
      <c r="F112">
        <f>F40+F56+F61+F98+F102+F107</f>
        <v/>
      </c>
      <c r="G112">
        <f>G40+G56+G61+G98+G102+G107</f>
        <v/>
      </c>
      <c r="H112">
        <f>H40+H56+H61+H98+H102+H107</f>
        <v/>
      </c>
      <c r="I112">
        <f>I40+I56+I61+I98+I102+I107</f>
        <v/>
      </c>
      <c r="J112">
        <f>J40+J56+J61+J98+J102+J107</f>
        <v/>
      </c>
      <c r="K112">
        <f>K40+K56+K61+K98+K102+K107</f>
        <v/>
      </c>
    </row>
    <row r="113">
      <c r="A113" s="61" t="inlineStr">
        <is>
          <t>Summer Revenue</t>
        </is>
      </c>
      <c r="B113">
        <f>IF(2027&gt;=$B$13,B112*$B$11,0)</f>
        <v/>
      </c>
      <c r="C113">
        <f>IF(2028&gt;=$B$13,C112*$B$11,0)</f>
        <v/>
      </c>
      <c r="D113">
        <f>IF(2029&gt;=$B$13,D112*$B$11,0)</f>
        <v/>
      </c>
      <c r="E113">
        <f>IF(2030&gt;=$B$13,E112*$B$11,0)</f>
        <v/>
      </c>
      <c r="F113">
        <f>IF(2031&gt;=$B$13,F112*$B$11,0)</f>
        <v/>
      </c>
      <c r="G113">
        <f>IF(2032&gt;=$B$13,G112*$B$11,0)</f>
        <v/>
      </c>
      <c r="H113">
        <f>IF(2033&gt;=$B$13,H112*$B$11,0)</f>
        <v/>
      </c>
      <c r="I113">
        <f>IF(2034&gt;=$B$13,I112*$B$11,0)</f>
        <v/>
      </c>
      <c r="J113">
        <f>IF(2035&gt;=$B$13,J112*$B$11,0)</f>
        <v/>
      </c>
      <c r="K113">
        <f>IF(2036&gt;=$B$13,K112*$B$11,0)</f>
        <v/>
      </c>
    </row>
    <row r="114">
      <c r="A114" s="61" t="inlineStr">
        <is>
          <t>TOTAL ANNUAL REVENUE</t>
        </is>
      </c>
      <c r="B114">
        <f>B112+B113</f>
        <v/>
      </c>
      <c r="C114">
        <f>C112+C113</f>
        <v/>
      </c>
      <c r="D114">
        <f>D112+D113</f>
        <v/>
      </c>
      <c r="E114">
        <f>E112+E113</f>
        <v/>
      </c>
      <c r="F114">
        <f>F112+F113</f>
        <v/>
      </c>
      <c r="G114">
        <f>G112+G113</f>
        <v/>
      </c>
      <c r="H114">
        <f>H112+H113</f>
        <v/>
      </c>
      <c r="I114">
        <f>I112+I113</f>
        <v/>
      </c>
      <c r="J114">
        <f>J112+J113</f>
        <v/>
      </c>
      <c r="K114">
        <f>K112+K113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0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42" customWidth="1" style="19" min="1" max="1"/>
    <col width="15" customWidth="1" style="19" min="2" max="11"/>
  </cols>
  <sheetData>
    <row r="1" ht="17.35" customHeight="1" s="20">
      <c r="A1" s="21" t="inlineStr">
        <is>
          <t>PROFIT &amp; LOSS</t>
        </is>
      </c>
    </row>
    <row r="2"/>
    <row r="3" ht="15" customHeight="1" s="20">
      <c r="A3" s="22" t="inlineStr">
        <is>
          <t>EXTERNAL PARAMETERS (normally do not change)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 ht="15" customHeight="1" s="20">
      <c r="A4" s="24" t="inlineStr">
        <is>
          <t>General Inflation Rate</t>
        </is>
      </c>
      <c r="B4" s="47" t="n">
        <v>0.02</v>
      </c>
    </row>
    <row r="5" ht="15" customHeight="1" s="20">
      <c r="A5" s="24" t="inlineStr">
        <is>
          <t>Tax Rate (Uri canton combined)</t>
        </is>
      </c>
      <c r="B5" s="47" t="n">
        <v>0.1264</v>
      </c>
    </row>
    <row r="6" ht="15" customHeight="1" s="20">
      <c r="A6" s="24" t="inlineStr">
        <is>
          <t>Initial Capital (GmbH paid-in)</t>
        </is>
      </c>
      <c r="B6" s="45" t="n">
        <v>20000</v>
      </c>
    </row>
    <row r="7"/>
    <row r="8" ht="15" customHeight="1" s="20">
      <c r="A8" s="22" t="inlineStr">
        <is>
          <t>10-YEAR PROFIT &amp; LOSS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</row>
    <row r="9" ht="15" customHeight="1" s="20">
      <c r="A9" s="27" t="n"/>
      <c r="B9" s="28" t="n">
        <v>2027</v>
      </c>
      <c r="C9" s="28" t="n">
        <v>2028</v>
      </c>
      <c r="D9" s="28" t="n">
        <v>2029</v>
      </c>
      <c r="E9" s="28" t="n">
        <v>2030</v>
      </c>
      <c r="F9" s="28" t="n">
        <v>2031</v>
      </c>
      <c r="G9" s="28" t="n">
        <v>2032</v>
      </c>
      <c r="H9" s="28" t="n">
        <v>2033</v>
      </c>
      <c r="I9" s="28" t="n">
        <v>2034</v>
      </c>
      <c r="J9" s="28" t="n">
        <v>2035</v>
      </c>
      <c r="K9" s="28" t="n">
        <v>2036</v>
      </c>
    </row>
    <row r="10" ht="15" customHeight="1" s="20">
      <c r="A10" s="24" t="inlineStr">
        <is>
          <t xml:space="preserve">  Net Ticket Revenue</t>
        </is>
      </c>
      <c r="B10" s="29">
        <f>Revenue!B40</f>
        <v/>
      </c>
      <c r="C10" s="29">
        <f>Revenue!C40</f>
        <v/>
      </c>
      <c r="D10" s="29">
        <f>Revenue!D40</f>
        <v/>
      </c>
      <c r="E10" s="29">
        <f>Revenue!E40</f>
        <v/>
      </c>
      <c r="F10" s="29">
        <f>Revenue!F40</f>
        <v/>
      </c>
      <c r="G10" s="29">
        <f>Revenue!G40</f>
        <v/>
      </c>
      <c r="H10" s="29">
        <f>Revenue!H40</f>
        <v/>
      </c>
      <c r="I10" s="29">
        <f>Revenue!I40</f>
        <v/>
      </c>
      <c r="J10" s="29">
        <f>Revenue!J40</f>
        <v/>
      </c>
      <c r="K10" s="29">
        <f>Revenue!K40</f>
        <v/>
      </c>
    </row>
    <row r="11" ht="15" customHeight="1" s="20">
      <c r="A11" s="24" t="inlineStr">
        <is>
          <t xml:space="preserve">  Partnership Revenue</t>
        </is>
      </c>
      <c r="B11" s="29">
        <f>Revenue!B56</f>
        <v/>
      </c>
      <c r="C11" s="29">
        <f>Revenue!C56</f>
        <v/>
      </c>
      <c r="D11" s="29">
        <f>Revenue!D56</f>
        <v/>
      </c>
      <c r="E11" s="29">
        <f>Revenue!E56</f>
        <v/>
      </c>
      <c r="F11" s="29">
        <f>Revenue!F56</f>
        <v/>
      </c>
      <c r="G11" s="29">
        <f>Revenue!G56</f>
        <v/>
      </c>
      <c r="H11" s="29">
        <f>Revenue!H56</f>
        <v/>
      </c>
      <c r="I11" s="29">
        <f>Revenue!I56</f>
        <v/>
      </c>
      <c r="J11" s="29">
        <f>Revenue!J56</f>
        <v/>
      </c>
      <c r="K11" s="29">
        <f>Revenue!K56</f>
        <v/>
      </c>
    </row>
    <row r="12" ht="15" customHeight="1" s="20">
      <c r="A12" s="24" t="inlineStr">
        <is>
          <t xml:space="preserve">  ASA Contribution</t>
        </is>
      </c>
      <c r="B12" s="29">
        <f>Revenue!B61</f>
        <v/>
      </c>
      <c r="C12" s="29">
        <f>Revenue!C61</f>
        <v/>
      </c>
      <c r="D12" s="29">
        <f>Revenue!D61</f>
        <v/>
      </c>
      <c r="E12" s="29">
        <f>Revenue!E61</f>
        <v/>
      </c>
      <c r="F12" s="29">
        <f>Revenue!F61</f>
        <v/>
      </c>
      <c r="G12" s="29">
        <f>Revenue!G61</f>
        <v/>
      </c>
      <c r="H12" s="29">
        <f>Revenue!H61</f>
        <v/>
      </c>
      <c r="I12" s="29">
        <f>Revenue!I61</f>
        <v/>
      </c>
      <c r="J12" s="29">
        <f>Revenue!J61</f>
        <v/>
      </c>
      <c r="K12" s="29">
        <f>Revenue!K61</f>
        <v/>
      </c>
    </row>
    <row r="13" ht="15" customHeight="1" s="20">
      <c r="A13" s="24" t="inlineStr">
        <is>
          <t xml:space="preserve">  Bar/F&amp;B Revenue</t>
        </is>
      </c>
      <c r="B13" s="29">
        <f>Revenue!B98</f>
        <v/>
      </c>
      <c r="C13" s="29">
        <f>Revenue!C98</f>
        <v/>
      </c>
      <c r="D13" s="29">
        <f>Revenue!D98</f>
        <v/>
      </c>
      <c r="E13" s="29">
        <f>Revenue!E98</f>
        <v/>
      </c>
      <c r="F13" s="29">
        <f>Revenue!F98</f>
        <v/>
      </c>
      <c r="G13" s="29">
        <f>Revenue!G98</f>
        <v/>
      </c>
      <c r="H13" s="29">
        <f>Revenue!H98</f>
        <v/>
      </c>
      <c r="I13" s="29">
        <f>Revenue!I98</f>
        <v/>
      </c>
      <c r="J13" s="29">
        <f>Revenue!J98</f>
        <v/>
      </c>
      <c r="K13" s="29">
        <f>Revenue!K98</f>
        <v/>
      </c>
    </row>
    <row r="14" ht="15" customHeight="1" s="20">
      <c r="A14" s="24" t="inlineStr">
        <is>
          <t xml:space="preserve">  Dinner Revenue</t>
        </is>
      </c>
      <c r="B14" s="29">
        <f>Revenue!B102</f>
        <v/>
      </c>
      <c r="C14" s="29">
        <f>Revenue!C102</f>
        <v/>
      </c>
      <c r="D14" s="29">
        <f>Revenue!D102</f>
        <v/>
      </c>
      <c r="E14" s="29">
        <f>Revenue!E102</f>
        <v/>
      </c>
      <c r="F14" s="29">
        <f>Revenue!F102</f>
        <v/>
      </c>
      <c r="G14" s="29">
        <f>Revenue!G102</f>
        <v/>
      </c>
      <c r="H14" s="29">
        <f>Revenue!H102</f>
        <v/>
      </c>
      <c r="I14" s="29">
        <f>Revenue!I102</f>
        <v/>
      </c>
      <c r="J14" s="29">
        <f>Revenue!J102</f>
        <v/>
      </c>
      <c r="K14" s="29">
        <f>Revenue!K102</f>
        <v/>
      </c>
    </row>
    <row r="15" ht="15" customHeight="1" s="20">
      <c r="A15" s="24" t="inlineStr">
        <is>
          <t xml:space="preserve">  Other Revenue</t>
        </is>
      </c>
      <c r="B15" s="29">
        <f>Revenue!B107</f>
        <v/>
      </c>
      <c r="C15" s="29">
        <f>Revenue!C107</f>
        <v/>
      </c>
      <c r="D15" s="29">
        <f>Revenue!D107</f>
        <v/>
      </c>
      <c r="E15" s="29">
        <f>Revenue!E107</f>
        <v/>
      </c>
      <c r="F15" s="29">
        <f>Revenue!F107</f>
        <v/>
      </c>
      <c r="G15" s="29">
        <f>Revenue!G107</f>
        <v/>
      </c>
      <c r="H15" s="29">
        <f>Revenue!H107</f>
        <v/>
      </c>
      <c r="I15" s="29">
        <f>Revenue!I107</f>
        <v/>
      </c>
      <c r="J15" s="29">
        <f>Revenue!J107</f>
        <v/>
      </c>
      <c r="K15" s="29">
        <f>Revenue!K107</f>
        <v/>
      </c>
    </row>
    <row r="16"/>
    <row r="17" ht="15" customHeight="1" s="20">
      <c r="A17" s="26" t="inlineStr">
        <is>
          <t>TOTAL REVENUE</t>
        </is>
      </c>
      <c r="B17" s="31">
        <f>Revenue!B114</f>
        <v/>
      </c>
      <c r="C17" s="31">
        <f>Revenue!C114</f>
        <v/>
      </c>
      <c r="D17" s="31">
        <f>Revenue!D114</f>
        <v/>
      </c>
      <c r="E17" s="31">
        <f>Revenue!E114</f>
        <v/>
      </c>
      <c r="F17" s="31">
        <f>Revenue!F114</f>
        <v/>
      </c>
      <c r="G17" s="31">
        <f>Revenue!G114</f>
        <v/>
      </c>
      <c r="H17" s="31">
        <f>Revenue!H114</f>
        <v/>
      </c>
      <c r="I17" s="31">
        <f>Revenue!I114</f>
        <v/>
      </c>
      <c r="J17" s="31">
        <f>Revenue!J114</f>
        <v/>
      </c>
      <c r="K17" s="31">
        <f>Revenue!K114</f>
        <v/>
      </c>
    </row>
    <row r="18"/>
    <row r="19" ht="15" customHeight="1" s="20">
      <c r="A19" s="22" t="inlineStr">
        <is>
          <t>Costs</t>
        </is>
      </c>
      <c r="B19" s="62" t="n"/>
      <c r="C19" s="62" t="n"/>
      <c r="D19" s="62" t="n"/>
      <c r="E19" s="62" t="n"/>
      <c r="F19" s="62" t="n"/>
      <c r="G19" s="62" t="n"/>
      <c r="H19" s="62" t="n"/>
      <c r="I19" s="62" t="n"/>
      <c r="J19" s="62" t="n"/>
      <c r="K19" s="62" t="n"/>
    </row>
    <row r="20" ht="15" customHeight="1" s="20">
      <c r="A20" s="24" t="inlineStr">
        <is>
          <t xml:space="preserve">  Total Direct Costs</t>
        </is>
      </c>
      <c r="B20" s="29">
        <f>-Cost!B49</f>
        <v/>
      </c>
      <c r="C20" s="29">
        <f>-Cost!C49</f>
        <v/>
      </c>
      <c r="D20" s="29">
        <f>-Cost!D49</f>
        <v/>
      </c>
      <c r="E20" s="29">
        <f>-Cost!E49</f>
        <v/>
      </c>
      <c r="F20" s="29">
        <f>-Cost!F49</f>
        <v/>
      </c>
      <c r="G20" s="29">
        <f>-Cost!G49</f>
        <v/>
      </c>
      <c r="H20" s="29">
        <f>-Cost!H49</f>
        <v/>
      </c>
      <c r="I20" s="29">
        <f>-Cost!I49</f>
        <v/>
      </c>
      <c r="J20" s="29">
        <f>-Cost!J49</f>
        <v/>
      </c>
      <c r="K20" s="29">
        <f>-Cost!K49</f>
        <v/>
      </c>
    </row>
    <row r="21" ht="15" customHeight="1" s="20">
      <c r="A21" s="24" t="inlineStr">
        <is>
          <t xml:space="preserve">  Overhead</t>
        </is>
      </c>
      <c r="B21" s="29">
        <f>-Cost!B53</f>
        <v/>
      </c>
      <c r="C21" s="29">
        <f>-Cost!C53</f>
        <v/>
      </c>
      <c r="D21" s="29">
        <f>-Cost!D53</f>
        <v/>
      </c>
      <c r="E21" s="29">
        <f>-Cost!E53</f>
        <v/>
      </c>
      <c r="F21" s="29">
        <f>-Cost!F53</f>
        <v/>
      </c>
      <c r="G21" s="29">
        <f>-Cost!G53</f>
        <v/>
      </c>
      <c r="H21" s="29">
        <f>-Cost!H53</f>
        <v/>
      </c>
      <c r="I21" s="29">
        <f>-Cost!I53</f>
        <v/>
      </c>
      <c r="J21" s="29">
        <f>-Cost!J53</f>
        <v/>
      </c>
      <c r="K21" s="29">
        <f>-Cost!K53</f>
        <v/>
      </c>
    </row>
    <row r="22" ht="15" customHeight="1" s="20">
      <c r="A22" s="24" t="inlineStr">
        <is>
          <t xml:space="preserve">  Founder Pay</t>
        </is>
      </c>
      <c r="B22" s="29">
        <f>-Cost!B55</f>
        <v/>
      </c>
      <c r="C22" s="29">
        <f>-Cost!C55</f>
        <v/>
      </c>
      <c r="D22" s="29">
        <f>-Cost!D55</f>
        <v/>
      </c>
      <c r="E22" s="29">
        <f>-Cost!E55</f>
        <v/>
      </c>
      <c r="F22" s="29">
        <f>-Cost!F55</f>
        <v/>
      </c>
      <c r="G22" s="29">
        <f>-Cost!G55</f>
        <v/>
      </c>
      <c r="H22" s="29">
        <f>-Cost!H55</f>
        <v/>
      </c>
      <c r="I22" s="29">
        <f>-Cost!I55</f>
        <v/>
      </c>
      <c r="J22" s="29">
        <f>-Cost!J55</f>
        <v/>
      </c>
      <c r="K22" s="29">
        <f>-Cost!K55</f>
        <v/>
      </c>
    </row>
    <row r="23"/>
    <row r="24" ht="15" customHeight="1" s="20">
      <c r="A24" s="26" t="inlineStr">
        <is>
          <t>TOTAL COSTS</t>
        </is>
      </c>
      <c r="B24" s="31">
        <f>B20+B21+B22</f>
        <v/>
      </c>
      <c r="C24" s="31">
        <f>C20+C21+C22</f>
        <v/>
      </c>
      <c r="D24" s="31">
        <f>D20+D21+D22</f>
        <v/>
      </c>
      <c r="E24" s="31">
        <f>E20+E21+E22</f>
        <v/>
      </c>
      <c r="F24" s="31">
        <f>F20+F21+F22</f>
        <v/>
      </c>
      <c r="G24" s="31">
        <f>G20+G21+G22</f>
        <v/>
      </c>
      <c r="H24" s="31">
        <f>H20+H21+H22</f>
        <v/>
      </c>
      <c r="I24" s="31">
        <f>I20+I21+I22</f>
        <v/>
      </c>
      <c r="J24" s="31">
        <f>J20+J21+J22</f>
        <v/>
      </c>
      <c r="K24" s="31">
        <f>K20+K21+K22</f>
        <v/>
      </c>
    </row>
    <row r="25"/>
    <row r="26" ht="15" customHeight="1" s="20">
      <c r="A26" s="22" t="inlineStr">
        <is>
          <t>RESULTS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 ht="15" customHeight="1" s="20">
      <c r="A27" s="26" t="inlineStr">
        <is>
          <t>EBIT</t>
        </is>
      </c>
      <c r="B27" s="25">
        <f>B17+B24</f>
        <v/>
      </c>
      <c r="C27" s="25">
        <f>C17+C24</f>
        <v/>
      </c>
      <c r="D27" s="25">
        <f>D17+D24</f>
        <v/>
      </c>
      <c r="E27" s="25">
        <f>E17+E24</f>
        <v/>
      </c>
      <c r="F27" s="25">
        <f>F17+F24</f>
        <v/>
      </c>
      <c r="G27" s="25">
        <f>G17+G24</f>
        <v/>
      </c>
      <c r="H27" s="25">
        <f>H17+H24</f>
        <v/>
      </c>
      <c r="I27" s="25">
        <f>I17+I24</f>
        <v/>
      </c>
      <c r="J27" s="25">
        <f>J17+J24</f>
        <v/>
      </c>
      <c r="K27" s="25">
        <f>K17+K24</f>
        <v/>
      </c>
    </row>
    <row r="28" ht="15" customHeight="1" s="20">
      <c r="A28" s="24" t="inlineStr">
        <is>
          <t>Tax</t>
        </is>
      </c>
      <c r="B28" s="29">
        <f>IF(B27&gt;0,-B27*$B$5,0)</f>
        <v/>
      </c>
      <c r="C28" s="29">
        <f>IF(C27&gt;0,-C27*$B$5,0)</f>
        <v/>
      </c>
      <c r="D28" s="29">
        <f>IF(D27&gt;0,-D27*$B$5,0)</f>
        <v/>
      </c>
      <c r="E28" s="29">
        <f>IF(E27&gt;0,-E27*$B$5,0)</f>
        <v/>
      </c>
      <c r="F28" s="29">
        <f>IF(F27&gt;0,-F27*$B$5,0)</f>
        <v/>
      </c>
      <c r="G28" s="29">
        <f>IF(G27&gt;0,-G27*$B$5,0)</f>
        <v/>
      </c>
      <c r="H28" s="29">
        <f>IF(H27&gt;0,-H27*$B$5,0)</f>
        <v/>
      </c>
      <c r="I28" s="29">
        <f>IF(I27&gt;0,-I27*$B$5,0)</f>
        <v/>
      </c>
      <c r="J28" s="29">
        <f>IF(J27&gt;0,-J27*$B$5,0)</f>
        <v/>
      </c>
      <c r="K28" s="29">
        <f>IF(K27&gt;0,-K27*$B$5,0)</f>
        <v/>
      </c>
    </row>
    <row r="29" ht="15" customHeight="1" s="20">
      <c r="A29" s="26" t="inlineStr">
        <is>
          <t>PROFIT AFTER TAX</t>
        </is>
      </c>
      <c r="B29" s="31">
        <f>B27+B28</f>
        <v/>
      </c>
      <c r="C29" s="31">
        <f>C27+C28</f>
        <v/>
      </c>
      <c r="D29" s="31">
        <f>D27+D28</f>
        <v/>
      </c>
      <c r="E29" s="31">
        <f>E27+E28</f>
        <v/>
      </c>
      <c r="F29" s="31">
        <f>F27+F28</f>
        <v/>
      </c>
      <c r="G29" s="31">
        <f>G27+G28</f>
        <v/>
      </c>
      <c r="H29" s="31">
        <f>H27+H28</f>
        <v/>
      </c>
      <c r="I29" s="31">
        <f>I27+I28</f>
        <v/>
      </c>
      <c r="J29" s="31">
        <f>J27+J28</f>
        <v/>
      </c>
      <c r="K29" s="31">
        <f>K27+K28</f>
        <v/>
      </c>
    </row>
    <row r="30" ht="15" customHeight="1" s="20">
      <c r="A30" s="26" t="inlineStr">
        <is>
          <t>CUMULATIVE CASH</t>
        </is>
      </c>
      <c r="B30" s="25">
        <f>$B$6+B29</f>
        <v/>
      </c>
      <c r="C30" s="25">
        <f>B30+C29</f>
        <v/>
      </c>
      <c r="D30" s="25">
        <f>C30+D29</f>
        <v/>
      </c>
      <c r="E30" s="25">
        <f>D30+E29</f>
        <v/>
      </c>
      <c r="F30" s="25">
        <f>E30+F29</f>
        <v/>
      </c>
      <c r="G30" s="25">
        <f>F30+G29</f>
        <v/>
      </c>
      <c r="H30" s="25">
        <f>G30+H29</f>
        <v/>
      </c>
      <c r="I30" s="25">
        <f>H30+I29</f>
        <v/>
      </c>
      <c r="J30" s="25">
        <f>I30+J29</f>
        <v/>
      </c>
      <c r="K30" s="25">
        <f>J30+K29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0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42" customWidth="1" style="19" min="1" max="1"/>
    <col width="15" customWidth="1" style="19" min="2" max="11"/>
  </cols>
  <sheetData>
    <row r="1" ht="17.35" customHeight="1" s="20">
      <c r="A1" s="21" t="inlineStr">
        <is>
          <t>COST</t>
        </is>
      </c>
    </row>
    <row r="2"/>
    <row r="3" ht="15" customHeight="1" s="20">
      <c r="A3" s="32" t="inlineStr">
        <is>
          <t>MODEL ASSUMPTIONS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 ht="15" customHeight="1" s="20">
      <c r="A4" s="24" t="inlineStr">
        <is>
          <t>Venue Contract Escalation Rate</t>
        </is>
      </c>
      <c r="B4" s="47" t="n">
        <v>0.03</v>
      </c>
    </row>
    <row r="5" ht="15" customHeight="1" s="20">
      <c r="A5" s="24" t="inlineStr">
        <is>
          <t>Ambition Growth Rate (Category C)</t>
        </is>
      </c>
      <c r="B5" s="47" t="n">
        <v>0.06</v>
      </c>
    </row>
    <row r="6" ht="15" customHeight="1" s="20">
      <c r="A6" s="24" t="inlineStr">
        <is>
          <t>Contingency %</t>
        </is>
      </c>
      <c r="B6" s="47" t="n">
        <v>0.09</v>
      </c>
    </row>
    <row r="7"/>
    <row r="8" ht="15" customHeight="1" s="20">
      <c r="A8" s="49" t="inlineStr">
        <is>
          <t>COST CATEGORY DEFINITIONS:</t>
        </is>
      </c>
    </row>
    <row r="9" ht="15" customHeight="1" s="20">
      <c r="A9" s="49" t="inlineStr">
        <is>
          <t xml:space="preserve">  Category A (Fixed/Contract): Costs driven by contracts or predictable obligations. Grow at contractual rate or general inflation.</t>
        </is>
      </c>
    </row>
    <row r="10" ht="15" customHeight="1" s="20">
      <c r="A10" s="49" t="inlineStr">
        <is>
          <t xml:space="preserve">  Category B (Guest-linked): Costs that scale with the number of ticket holders. More tickets sold = higher cost.</t>
        </is>
      </c>
    </row>
    <row r="11" ht="15" customHeight="1" s="20">
      <c r="A11" s="49" t="inlineStr">
        <is>
          <t xml:space="preserve">  Category C (Ambition-linked): Costs tied to the quality and ambition of the event. Default growth: Ambition Growth Rate above.</t>
        </is>
      </c>
    </row>
    <row r="12" ht="15" customHeight="1" s="20">
      <c r="A12" s="49" t="inlineStr">
        <is>
          <t xml:space="preserve">  Contingency: A buffer calculated as % of total costs (A+B+C) for unexpected expenses.</t>
        </is>
      </c>
    </row>
    <row r="13"/>
    <row r="14" ht="15" customHeight="1" s="20">
      <c r="A14" s="22" t="inlineStr">
        <is>
          <t>CATEGORY A: FIXED / CONTRACT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 s="20">
      <c r="A15" s="27" t="n"/>
      <c r="B15" s="28" t="n">
        <v>2027</v>
      </c>
      <c r="C15" s="28" t="n">
        <v>2028</v>
      </c>
      <c r="D15" s="28" t="n">
        <v>2029</v>
      </c>
      <c r="E15" s="28" t="n">
        <v>2030</v>
      </c>
      <c r="F15" s="28" t="n">
        <v>2031</v>
      </c>
      <c r="G15" s="28" t="n">
        <v>2032</v>
      </c>
      <c r="H15" s="28" t="n">
        <v>2033</v>
      </c>
      <c r="I15" s="28" t="n">
        <v>2034</v>
      </c>
      <c r="J15" s="28" t="n">
        <v>2035</v>
      </c>
      <c r="K15" s="28" t="n">
        <v>2036</v>
      </c>
    </row>
    <row r="16" ht="15" customHeight="1" s="20">
      <c r="A16" s="24" t="inlineStr">
        <is>
          <t xml:space="preserve">  Venue (Swiss House)</t>
        </is>
      </c>
      <c r="B16" s="45" t="n">
        <v>27951</v>
      </c>
      <c r="C16" s="29">
        <f>B16*(1+$B$4)</f>
        <v/>
      </c>
      <c r="D16" s="29">
        <f>C16*(1+$B$4)</f>
        <v/>
      </c>
      <c r="E16" s="29">
        <f>D16*(1+$B$4)</f>
        <v/>
      </c>
      <c r="F16" s="29">
        <f>E16*(1+$B$4)</f>
        <v/>
      </c>
      <c r="G16" s="29">
        <f>F16*(1+$B$4)</f>
        <v/>
      </c>
      <c r="H16" s="29">
        <f>G16*(1+$B$4)</f>
        <v/>
      </c>
      <c r="I16" s="29">
        <f>H16*(1+$B$4)</f>
        <v/>
      </c>
      <c r="J16" s="29">
        <f>I16*(1+$B$4)</f>
        <v/>
      </c>
      <c r="K16" s="29">
        <f>J16*(1+$B$4)</f>
        <v/>
      </c>
    </row>
    <row r="17" ht="15" customHeight="1" s="20">
      <c r="A17" s="24" t="inlineStr">
        <is>
          <t xml:space="preserve">  F&amp;B Credit (guest spend vs minimums)</t>
        </is>
      </c>
      <c r="B17" s="45" t="n">
        <v>-9000</v>
      </c>
      <c r="C17" s="29">
        <f>B17*(1+$B$4)</f>
        <v/>
      </c>
      <c r="D17" s="29">
        <f>C17*(1+$B$4)</f>
        <v/>
      </c>
      <c r="E17" s="29">
        <f>D17*(1+$B$4)</f>
        <v/>
      </c>
      <c r="F17" s="29">
        <f>E17*(1+$B$4)</f>
        <v/>
      </c>
      <c r="G17" s="29">
        <f>F17*(1+$B$4)</f>
        <v/>
      </c>
      <c r="H17" s="29">
        <f>G17*(1+$B$4)</f>
        <v/>
      </c>
      <c r="I17" s="29">
        <f>H17*(1+$B$4)</f>
        <v/>
      </c>
      <c r="J17" s="29">
        <f>I17*(1+$B$4)</f>
        <v/>
      </c>
      <c r="K17" s="29">
        <f>J17*(1+$B$4)</f>
        <v/>
      </c>
    </row>
    <row r="18" ht="15" customHeight="1" s="20">
      <c r="A18" s="24" t="inlineStr">
        <is>
          <t xml:space="preserve">  Insurance / Permits / Ticketing</t>
        </is>
      </c>
      <c r="B18" s="45" t="n">
        <v>2500</v>
      </c>
      <c r="C18" s="29">
        <f>B18*(1+'P&amp;L'!$B$4)</f>
        <v/>
      </c>
      <c r="D18" s="29">
        <f>C18*(1+'P&amp;L'!$B$4)</f>
        <v/>
      </c>
      <c r="E18" s="29">
        <f>D18*(1+'P&amp;L'!$B$4)</f>
        <v/>
      </c>
      <c r="F18" s="29">
        <f>E18*(1+'P&amp;L'!$B$4)</f>
        <v/>
      </c>
      <c r="G18" s="29">
        <f>F18*(1+'P&amp;L'!$B$4)</f>
        <v/>
      </c>
      <c r="H18" s="29">
        <f>G18*(1+'P&amp;L'!$B$4)</f>
        <v/>
      </c>
      <c r="I18" s="29">
        <f>H18*(1+'P&amp;L'!$B$4)</f>
        <v/>
      </c>
      <c r="J18" s="29">
        <f>I18*(1+'P&amp;L'!$B$4)</f>
        <v/>
      </c>
      <c r="K18" s="29">
        <f>J18*(1+'P&amp;L'!$B$4)</f>
        <v/>
      </c>
    </row>
    <row r="19" ht="15" customHeight="1" s="20">
      <c r="A19" s="24" t="inlineStr">
        <is>
          <t xml:space="preserve">  Transport</t>
        </is>
      </c>
      <c r="B19" s="45" t="n">
        <v>2500</v>
      </c>
      <c r="C19" s="29">
        <f>B19*(1+'P&amp;L'!$B$4)</f>
        <v/>
      </c>
      <c r="D19" s="29">
        <f>C19*(1+'P&amp;L'!$B$4)</f>
        <v/>
      </c>
      <c r="E19" s="29">
        <f>D19*(1+'P&amp;L'!$B$4)</f>
        <v/>
      </c>
      <c r="F19" s="29">
        <f>E19*(1+'P&amp;L'!$B$4)</f>
        <v/>
      </c>
      <c r="G19" s="29">
        <f>F19*(1+'P&amp;L'!$B$4)</f>
        <v/>
      </c>
      <c r="H19" s="29">
        <f>G19*(1+'P&amp;L'!$B$4)</f>
        <v/>
      </c>
      <c r="I19" s="29">
        <f>H19*(1+'P&amp;L'!$B$4)</f>
        <v/>
      </c>
      <c r="J19" s="29">
        <f>I19*(1+'P&amp;L'!$B$4)</f>
        <v/>
      </c>
      <c r="K19" s="29">
        <f>J19*(1+'P&amp;L'!$B$4)</f>
        <v/>
      </c>
    </row>
    <row r="20" ht="15" customHeight="1" s="20">
      <c r="A20" s="24" t="inlineStr">
        <is>
          <t xml:space="preserve">  Sunday Program (incl. GRÜEZI coffee costs)</t>
        </is>
      </c>
      <c r="B20" s="45" t="n">
        <v>1000</v>
      </c>
      <c r="C20" s="29">
        <f>B20*(1+'P&amp;L'!$B$4)</f>
        <v/>
      </c>
      <c r="D20" s="29">
        <f>C20*(1+'P&amp;L'!$B$4)</f>
        <v/>
      </c>
      <c r="E20" s="29">
        <f>D20*(1+'P&amp;L'!$B$4)</f>
        <v/>
      </c>
      <c r="F20" s="29">
        <f>E20*(1+'P&amp;L'!$B$4)</f>
        <v/>
      </c>
      <c r="G20" s="29">
        <f>F20*(1+'P&amp;L'!$B$4)</f>
        <v/>
      </c>
      <c r="H20" s="29">
        <f>G20*(1+'P&amp;L'!$B$4)</f>
        <v/>
      </c>
      <c r="I20" s="29">
        <f>H20*(1+'P&amp;L'!$B$4)</f>
        <v/>
      </c>
      <c r="J20" s="29">
        <f>I20*(1+'P&amp;L'!$B$4)</f>
        <v/>
      </c>
      <c r="K20" s="29">
        <f>J20*(1+'P&amp;L'!$B$4)</f>
        <v/>
      </c>
    </row>
    <row r="21"/>
    <row r="22" ht="15" customHeight="1" s="20">
      <c r="A22" s="26" t="inlineStr">
        <is>
          <t>Category A Subtotal</t>
        </is>
      </c>
      <c r="B22" s="31">
        <f>B16+B17+B18+B19+B20</f>
        <v/>
      </c>
      <c r="C22" s="31">
        <f>C16+C17+C18+C19+C20</f>
        <v/>
      </c>
      <c r="D22" s="31">
        <f>D16+D17+D18+D19+D20</f>
        <v/>
      </c>
      <c r="E22" s="31">
        <f>E16+E17+E18+E19+E20</f>
        <v/>
      </c>
      <c r="F22" s="31">
        <f>F16+F17+F18+F19+F20</f>
        <v/>
      </c>
      <c r="G22" s="31">
        <f>G16+G17+G18+G19+G20</f>
        <v/>
      </c>
      <c r="H22" s="31">
        <f>H16+H17+H18+H19+H20</f>
        <v/>
      </c>
      <c r="I22" s="31">
        <f>I16+I17+I18+I19+I20</f>
        <v/>
      </c>
      <c r="J22" s="31">
        <f>J16+J17+J18+J19+J20</f>
        <v/>
      </c>
      <c r="K22" s="31">
        <f>K16+K17+K18+K19+K20</f>
        <v/>
      </c>
    </row>
    <row r="23"/>
    <row r="24" ht="15" customHeight="1" s="20">
      <c r="A24" s="22" t="inlineStr">
        <is>
          <t>CATEGORY B: GUEST-LINKED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" customHeight="1" s="20">
      <c r="A25" s="27" t="n"/>
      <c r="B25" s="28" t="n">
        <v>2027</v>
      </c>
      <c r="C25" s="28" t="n">
        <v>2028</v>
      </c>
      <c r="D25" s="28" t="n">
        <v>2029</v>
      </c>
      <c r="E25" s="28" t="n">
        <v>2030</v>
      </c>
      <c r="F25" s="28" t="n">
        <v>2031</v>
      </c>
      <c r="G25" s="28" t="n">
        <v>2032</v>
      </c>
      <c r="H25" s="28" t="n">
        <v>2033</v>
      </c>
      <c r="I25" s="28" t="n">
        <v>2034</v>
      </c>
      <c r="J25" s="28" t="n">
        <v>2035</v>
      </c>
      <c r="K25" s="28" t="n">
        <v>2036</v>
      </c>
    </row>
    <row r="26" ht="15" customHeight="1" s="20">
      <c r="A26" s="24" t="inlineStr">
        <is>
          <t xml:space="preserve">  Welcome Drinks (Ticket Count × 2 × CHF 9)</t>
        </is>
      </c>
      <c r="B26" s="45" t="n">
        <v>4500</v>
      </c>
      <c r="C26" s="29">
        <f>Revenue!$B$5*2*9</f>
        <v/>
      </c>
      <c r="D26" s="29">
        <f>Revenue!$B$5*2*9</f>
        <v/>
      </c>
      <c r="E26" s="29">
        <f>Revenue!$B$5*2*9</f>
        <v/>
      </c>
      <c r="F26" s="29">
        <f>Revenue!$B$5*2*9</f>
        <v/>
      </c>
      <c r="G26" s="29">
        <f>Revenue!$B$5*2*9</f>
        <v/>
      </c>
      <c r="H26" s="29">
        <f>Revenue!$B$5*2*9</f>
        <v/>
      </c>
      <c r="I26" s="29">
        <f>Revenue!$B$5*2*9</f>
        <v/>
      </c>
      <c r="J26" s="29">
        <f>Revenue!$B$5*2*9</f>
        <v/>
      </c>
      <c r="K26" s="29">
        <f>Revenue!$B$5*2*9</f>
        <v/>
      </c>
    </row>
    <row r="27" ht="15" customHeight="1" s="20">
      <c r="A27" s="24" t="inlineStr">
        <is>
          <t xml:space="preserve">  Security</t>
        </is>
      </c>
      <c r="B27" s="45" t="n">
        <v>4500</v>
      </c>
      <c r="C27" s="29">
        <f>$B$27</f>
        <v/>
      </c>
      <c r="D27" s="29">
        <f>$B$27</f>
        <v/>
      </c>
      <c r="E27" s="29">
        <f>$B$27</f>
        <v/>
      </c>
      <c r="F27" s="29">
        <f>$B$27</f>
        <v/>
      </c>
      <c r="G27" s="29">
        <f>$B$27</f>
        <v/>
      </c>
      <c r="H27" s="29">
        <f>$B$27</f>
        <v/>
      </c>
      <c r="I27" s="29">
        <f>$B$27</f>
        <v/>
      </c>
      <c r="J27" s="29">
        <f>$B$27</f>
        <v/>
      </c>
      <c r="K27" s="29">
        <f>$B$27</f>
        <v/>
      </c>
    </row>
    <row r="28"/>
    <row r="29" ht="15" customHeight="1" s="20">
      <c r="A29" s="26" t="inlineStr">
        <is>
          <t>Category B Subtotal</t>
        </is>
      </c>
      <c r="B29" s="31">
        <f>B26+B27</f>
        <v/>
      </c>
      <c r="C29" s="31">
        <f>C26+C27</f>
        <v/>
      </c>
      <c r="D29" s="31">
        <f>D26+D27</f>
        <v/>
      </c>
      <c r="E29" s="31">
        <f>E26+E27</f>
        <v/>
      </c>
      <c r="F29" s="31">
        <f>F26+F27</f>
        <v/>
      </c>
      <c r="G29" s="31">
        <f>G26+G27</f>
        <v/>
      </c>
      <c r="H29" s="31">
        <f>H26+H27</f>
        <v/>
      </c>
      <c r="I29" s="31">
        <f>I26+I27</f>
        <v/>
      </c>
      <c r="J29" s="31">
        <f>J26+J27</f>
        <v/>
      </c>
      <c r="K29" s="31">
        <f>K26+K27</f>
        <v/>
      </c>
    </row>
    <row r="30"/>
    <row r="31" ht="15" customHeight="1" s="20">
      <c r="A31" s="22" t="inlineStr">
        <is>
          <t>CATEGORY C: AMBITION-LINKED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</row>
    <row r="32" ht="15" customHeight="1" s="20">
      <c r="A32" s="27" t="n"/>
      <c r="B32" s="28" t="n">
        <v>2027</v>
      </c>
      <c r="C32" s="28" t="n">
        <v>2028</v>
      </c>
      <c r="D32" s="28" t="n">
        <v>2029</v>
      </c>
      <c r="E32" s="28" t="n">
        <v>2030</v>
      </c>
      <c r="F32" s="28" t="n">
        <v>2031</v>
      </c>
      <c r="G32" s="28" t="n">
        <v>2032</v>
      </c>
      <c r="H32" s="28" t="n">
        <v>2033</v>
      </c>
      <c r="I32" s="28" t="n">
        <v>2034</v>
      </c>
      <c r="J32" s="28" t="n">
        <v>2035</v>
      </c>
      <c r="K32" s="28" t="n">
        <v>2036</v>
      </c>
    </row>
    <row r="33" ht="15" customHeight="1" s="20">
      <c r="A33" s="24" t="inlineStr">
        <is>
          <t xml:space="preserve">  Talent (DJs / Artists)</t>
        </is>
      </c>
      <c r="B33" s="45" t="n">
        <v>18000</v>
      </c>
      <c r="C33" s="29">
        <f>B33*(1+$B$5)</f>
        <v/>
      </c>
      <c r="D33" s="29">
        <f>C33*(1+$B$5)</f>
        <v/>
      </c>
      <c r="E33" s="29">
        <f>D33*(1+$B$5)</f>
        <v/>
      </c>
      <c r="F33" s="29">
        <f>E33*(1+$B$5)</f>
        <v/>
      </c>
      <c r="G33" s="29">
        <f>F33*(1+$B$5)</f>
        <v/>
      </c>
      <c r="H33" s="29">
        <f>G33*(1+$B$5)</f>
        <v/>
      </c>
      <c r="I33" s="29">
        <f>H33*(1+$B$5)</f>
        <v/>
      </c>
      <c r="J33" s="29">
        <f>I33*(1+$B$5)</f>
        <v/>
      </c>
      <c r="K33" s="29">
        <f>J33*(1+$B$5)</f>
        <v/>
      </c>
    </row>
    <row r="34" ht="15" customHeight="1" s="20">
      <c r="A34" s="24" t="inlineStr">
        <is>
          <t xml:space="preserve">  Production (Sound / Lighting)</t>
        </is>
      </c>
      <c r="B34" s="45" t="n">
        <v>12000</v>
      </c>
      <c r="C34" s="29">
        <f>B34*(1+$B$5)</f>
        <v/>
      </c>
      <c r="D34" s="29">
        <f>C34*(1+$B$5)</f>
        <v/>
      </c>
      <c r="E34" s="29">
        <f>D34*(1+$B$5)</f>
        <v/>
      </c>
      <c r="F34" s="29">
        <f>E34*(1+$B$5)</f>
        <v/>
      </c>
      <c r="G34" s="29">
        <f>F34*(1+$B$5)</f>
        <v/>
      </c>
      <c r="H34" s="29">
        <f>G34*(1+$B$5)</f>
        <v/>
      </c>
      <c r="I34" s="29">
        <f>H34*(1+$B$5)</f>
        <v/>
      </c>
      <c r="J34" s="29">
        <f>I34*(1+$B$5)</f>
        <v/>
      </c>
      <c r="K34" s="29">
        <f>J34*(1+$B$5)</f>
        <v/>
      </c>
    </row>
    <row r="35" ht="15" customHeight="1" s="20">
      <c r="A35" s="24" t="inlineStr">
        <is>
          <t xml:space="preserve">  Decor / Branding</t>
        </is>
      </c>
      <c r="B35" s="45" t="n">
        <v>3500</v>
      </c>
      <c r="C35" s="29">
        <f>B35*(1+$B$5)</f>
        <v/>
      </c>
      <c r="D35" s="29">
        <f>C35*(1+$B$5)</f>
        <v/>
      </c>
      <c r="E35" s="29">
        <f>D35*(1+$B$5)</f>
        <v/>
      </c>
      <c r="F35" s="29">
        <f>E35*(1+$B$5)</f>
        <v/>
      </c>
      <c r="G35" s="29">
        <f>F35*(1+$B$5)</f>
        <v/>
      </c>
      <c r="H35" s="29">
        <f>G35*(1+$B$5)</f>
        <v/>
      </c>
      <c r="I35" s="29">
        <f>H35*(1+$B$5)</f>
        <v/>
      </c>
      <c r="J35" s="29">
        <f>I35*(1+$B$5)</f>
        <v/>
      </c>
      <c r="K35" s="29">
        <f>J35*(1+$B$5)</f>
        <v/>
      </c>
    </row>
    <row r="36" ht="15" customHeight="1" s="20">
      <c r="A36" s="24" t="inlineStr">
        <is>
          <t xml:space="preserve">  Photo / Video</t>
        </is>
      </c>
      <c r="B36" s="45" t="n">
        <v>5000</v>
      </c>
      <c r="C36" s="29">
        <f>B36*(1+$B$5)</f>
        <v/>
      </c>
      <c r="D36" s="29">
        <f>C36*(1+$B$5)</f>
        <v/>
      </c>
      <c r="E36" s="29">
        <f>D36*(1+$B$5)</f>
        <v/>
      </c>
      <c r="F36" s="29">
        <f>E36*(1+$B$5)</f>
        <v/>
      </c>
      <c r="G36" s="29">
        <f>F36*(1+$B$5)</f>
        <v/>
      </c>
      <c r="H36" s="29">
        <f>G36*(1+$B$5)</f>
        <v/>
      </c>
      <c r="I36" s="29">
        <f>H36*(1+$B$5)</f>
        <v/>
      </c>
      <c r="J36" s="29">
        <f>I36*(1+$B$5)</f>
        <v/>
      </c>
      <c r="K36" s="29">
        <f>J36*(1+$B$5)</f>
        <v/>
      </c>
    </row>
    <row r="37" ht="15" customHeight="1" s="20">
      <c r="A37" s="24" t="inlineStr">
        <is>
          <t xml:space="preserve">  Marketing / Print</t>
        </is>
      </c>
      <c r="B37" s="45" t="n">
        <v>2000</v>
      </c>
      <c r="C37" s="29">
        <f>B37*(1+$B$5)</f>
        <v/>
      </c>
      <c r="D37" s="29">
        <f>C37*(1+$B$5)</f>
        <v/>
      </c>
      <c r="E37" s="29">
        <f>D37*(1+$B$5)</f>
        <v/>
      </c>
      <c r="F37" s="29">
        <f>E37*(1+$B$5)</f>
        <v/>
      </c>
      <c r="G37" s="29">
        <f>F37*(1+$B$5)</f>
        <v/>
      </c>
      <c r="H37" s="29">
        <f>G37*(1+$B$5)</f>
        <v/>
      </c>
      <c r="I37" s="29">
        <f>H37*(1+$B$5)</f>
        <v/>
      </c>
      <c r="J37" s="29">
        <f>I37*(1+$B$5)</f>
        <v/>
      </c>
      <c r="K37" s="29">
        <f>J37*(1+$B$5)</f>
        <v/>
      </c>
    </row>
    <row r="38" ht="15" customHeight="1" s="20">
      <c r="A38" s="24" t="inlineStr">
        <is>
          <t xml:space="preserve">  Operating Partner</t>
        </is>
      </c>
      <c r="B38" s="45" t="n">
        <v>6000</v>
      </c>
      <c r="C38" s="29">
        <f>B38*(1+$B$5)</f>
        <v/>
      </c>
      <c r="D38" s="29">
        <f>C38*(1+$B$5)</f>
        <v/>
      </c>
      <c r="E38" s="29">
        <f>D38*(1+$B$5)</f>
        <v/>
      </c>
      <c r="F38" s="29">
        <f>E38*(1+$B$5)</f>
        <v/>
      </c>
      <c r="G38" s="29">
        <f>F38*(1+$B$5)</f>
        <v/>
      </c>
      <c r="H38" s="29">
        <f>G38*(1+$B$5)</f>
        <v/>
      </c>
      <c r="I38" s="29">
        <f>H38*(1+$B$5)</f>
        <v/>
      </c>
      <c r="J38" s="29">
        <f>I38*(1+$B$5)</f>
        <v/>
      </c>
      <c r="K38" s="29">
        <f>J38*(1+$B$5)</f>
        <v/>
      </c>
    </row>
    <row r="39" ht="15" customHeight="1" s="20">
      <c r="A39" s="24" t="inlineStr">
        <is>
          <t xml:space="preserve">  Chedi Winter Garden (Friday)</t>
        </is>
      </c>
      <c r="B39" s="45" t="n">
        <v>2500</v>
      </c>
      <c r="C39" s="29">
        <f>B39*(1+$B$5)</f>
        <v/>
      </c>
      <c r="D39" s="29">
        <f>C39*(1+$B$5)</f>
        <v/>
      </c>
      <c r="E39" s="29">
        <f>D39*(1+$B$5)</f>
        <v/>
      </c>
      <c r="F39" s="29">
        <f>E39*(1+$B$5)</f>
        <v/>
      </c>
      <c r="G39" s="29">
        <f>F39*(1+$B$5)</f>
        <v/>
      </c>
      <c r="H39" s="29">
        <f>G39*(1+$B$5)</f>
        <v/>
      </c>
      <c r="I39" s="29">
        <f>H39*(1+$B$5)</f>
        <v/>
      </c>
      <c r="J39" s="29">
        <f>I39*(1+$B$5)</f>
        <v/>
      </c>
      <c r="K39" s="29">
        <f>J39*(1+$B$5)</f>
        <v/>
      </c>
    </row>
    <row r="40"/>
    <row r="41" ht="15" customHeight="1" s="20">
      <c r="A41" s="26" t="inlineStr">
        <is>
          <t>Category C Subtotal</t>
        </is>
      </c>
      <c r="B41" s="31">
        <f>B33+B34+B35+B36+B37+B38+B39</f>
        <v/>
      </c>
      <c r="C41" s="31">
        <f>C33+C34+C35+C36+C37+C38+C39</f>
        <v/>
      </c>
      <c r="D41" s="31">
        <f>D33+D34+D35+D36+D37+D38+D39</f>
        <v/>
      </c>
      <c r="E41" s="31">
        <f>E33+E34+E35+E36+E37+E38+E39</f>
        <v/>
      </c>
      <c r="F41" s="31">
        <f>F33+F34+F35+F36+F37+F38+F39</f>
        <v/>
      </c>
      <c r="G41" s="31">
        <f>G33+G34+G35+G36+G37+G38+G39</f>
        <v/>
      </c>
      <c r="H41" s="31">
        <f>H33+H34+H35+H36+H37+H38+H39</f>
        <v/>
      </c>
      <c r="I41" s="31">
        <f>I33+I34+I35+I36+I37+I38+I39</f>
        <v/>
      </c>
      <c r="J41" s="31">
        <f>J33+J34+J35+J36+J37+J38+J39</f>
        <v/>
      </c>
      <c r="K41" s="31">
        <f>K33+K34+K35+K36+K37+K38+K39</f>
        <v/>
      </c>
    </row>
    <row r="42"/>
    <row r="43" ht="15" customHeight="1" s="20">
      <c r="A43" s="22" t="inlineStr">
        <is>
          <t>DIRECT COST TOTALS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</row>
    <row r="44" ht="15" customHeight="1" s="20">
      <c r="A44" s="27" t="n"/>
      <c r="B44" s="28" t="n">
        <v>2027</v>
      </c>
      <c r="C44" s="28" t="n">
        <v>2028</v>
      </c>
      <c r="D44" s="28" t="n">
        <v>2029</v>
      </c>
      <c r="E44" s="28" t="n">
        <v>2030</v>
      </c>
      <c r="F44" s="28" t="n">
        <v>2031</v>
      </c>
      <c r="G44" s="28" t="n">
        <v>2032</v>
      </c>
      <c r="H44" s="28" t="n">
        <v>2033</v>
      </c>
      <c r="I44" s="28" t="n">
        <v>2034</v>
      </c>
      <c r="J44" s="28" t="n">
        <v>2035</v>
      </c>
      <c r="K44" s="28" t="n">
        <v>2036</v>
      </c>
    </row>
    <row r="45" ht="15" customHeight="1" s="20">
      <c r="A45" s="24" t="inlineStr">
        <is>
          <t>Direct Cost Subtotal (A+B+C)</t>
        </is>
      </c>
      <c r="B45" s="29">
        <f>B22+B29+B41</f>
        <v/>
      </c>
      <c r="C45" s="29">
        <f>C22+C29+C41</f>
        <v/>
      </c>
      <c r="D45" s="29">
        <f>D22+D29+D41</f>
        <v/>
      </c>
      <c r="E45" s="29">
        <f>E22+E29+E41</f>
        <v/>
      </c>
      <c r="F45" s="29">
        <f>F22+F29+F41</f>
        <v/>
      </c>
      <c r="G45" s="29">
        <f>G22+G29+G41</f>
        <v/>
      </c>
      <c r="H45" s="29">
        <f>H22+H29+H41</f>
        <v/>
      </c>
      <c r="I45" s="29">
        <f>I22+I29+I41</f>
        <v/>
      </c>
      <c r="J45" s="29">
        <f>J22+J29+J41</f>
        <v/>
      </c>
      <c r="K45" s="29">
        <f>K22+K29+K41</f>
        <v/>
      </c>
    </row>
    <row r="46" ht="15" customHeight="1" s="20">
      <c r="A46" s="24" t="inlineStr">
        <is>
          <t>Contingency</t>
        </is>
      </c>
      <c r="B46" s="29">
        <f>B45*$B$6</f>
        <v/>
      </c>
      <c r="C46" s="29">
        <f>C45*$B$6</f>
        <v/>
      </c>
      <c r="D46" s="29">
        <f>D45*$B$6</f>
        <v/>
      </c>
      <c r="E46" s="29">
        <f>E45*$B$6</f>
        <v/>
      </c>
      <c r="F46" s="29">
        <f>F45*$B$6</f>
        <v/>
      </c>
      <c r="G46" s="29">
        <f>G45*$B$6</f>
        <v/>
      </c>
      <c r="H46" s="29">
        <f>H45*$B$6</f>
        <v/>
      </c>
      <c r="I46" s="29">
        <f>I45*$B$6</f>
        <v/>
      </c>
      <c r="J46" s="29">
        <f>J45*$B$6</f>
        <v/>
      </c>
      <c r="K46" s="29">
        <f>K45*$B$6</f>
        <v/>
      </c>
    </row>
    <row r="47" ht="15" customHeight="1" s="20">
      <c r="A47" s="26" t="inlineStr">
        <is>
          <t>TOTAL WINTER DIRECT COST</t>
        </is>
      </c>
      <c r="B47" s="31">
        <f>B45+B46</f>
        <v/>
      </c>
      <c r="C47" s="31">
        <f>C45+C46</f>
        <v/>
      </c>
      <c r="D47" s="31">
        <f>D45+D46</f>
        <v/>
      </c>
      <c r="E47" s="31">
        <f>E45+E46</f>
        <v/>
      </c>
      <c r="F47" s="31">
        <f>F45+F46</f>
        <v/>
      </c>
      <c r="G47" s="31">
        <f>G45+G46</f>
        <v/>
      </c>
      <c r="H47" s="31">
        <f>H45+H46</f>
        <v/>
      </c>
      <c r="I47" s="31">
        <f>I45+I46</f>
        <v/>
      </c>
      <c r="J47" s="31">
        <f>J45+J46</f>
        <v/>
      </c>
      <c r="K47" s="31">
        <f>K45+K46</f>
        <v/>
      </c>
    </row>
    <row r="48" ht="15" customHeight="1" s="20">
      <c r="A48" s="24" t="inlineStr">
        <is>
          <t>Summer Cost</t>
        </is>
      </c>
      <c r="B48" s="29">
        <f>IF(2027&gt;=Revenue!$B$13,B47*Revenue!$B$12,0)</f>
        <v/>
      </c>
      <c r="C48" s="29">
        <f>IF(2028&gt;=Revenue!$B$13,C47*Revenue!$B$12,0)</f>
        <v/>
      </c>
      <c r="D48" s="29">
        <f>IF(2029&gt;=Revenue!$B$13,D47*Revenue!$B$12,0)</f>
        <v/>
      </c>
      <c r="E48" s="29">
        <f>IF(2030&gt;=Revenue!$B$13,E47*Revenue!$B$12,0)</f>
        <v/>
      </c>
      <c r="F48" s="29">
        <f>IF(2031&gt;=Revenue!$B$13,F47*Revenue!$B$12,0)</f>
        <v/>
      </c>
      <c r="G48" s="29">
        <f>IF(2032&gt;=Revenue!$B$13,G47*Revenue!$B$12,0)</f>
        <v/>
      </c>
      <c r="H48" s="29">
        <f>IF(2033&gt;=Revenue!$B$13,H47*Revenue!$B$12,0)</f>
        <v/>
      </c>
      <c r="I48" s="29">
        <f>IF(2034&gt;=Revenue!$B$13,I47*Revenue!$B$12,0)</f>
        <v/>
      </c>
      <c r="J48" s="29">
        <f>IF(2035&gt;=Revenue!$B$13,J47*Revenue!$B$12,0)</f>
        <v/>
      </c>
      <c r="K48" s="29">
        <f>IF(2036&gt;=Revenue!$B$13,K47*Revenue!$B$12,0)</f>
        <v/>
      </c>
    </row>
    <row r="49" ht="15" customHeight="1" s="20">
      <c r="A49" s="26" t="inlineStr">
        <is>
          <t>TOTAL ANNUAL DIRECT COST</t>
        </is>
      </c>
      <c r="B49" s="31">
        <f>B47+B48</f>
        <v/>
      </c>
      <c r="C49" s="31">
        <f>C47+C48</f>
        <v/>
      </c>
      <c r="D49" s="31">
        <f>D47+D48</f>
        <v/>
      </c>
      <c r="E49" s="31">
        <f>E47+E48</f>
        <v/>
      </c>
      <c r="F49" s="31">
        <f>F47+F48</f>
        <v/>
      </c>
      <c r="G49" s="31">
        <f>G47+G48</f>
        <v/>
      </c>
      <c r="H49" s="31">
        <f>H47+H48</f>
        <v/>
      </c>
      <c r="I49" s="31">
        <f>I47+I48</f>
        <v/>
      </c>
      <c r="J49" s="31">
        <f>J47+J48</f>
        <v/>
      </c>
      <c r="K49" s="31">
        <f>K47+K48</f>
        <v/>
      </c>
    </row>
    <row r="50"/>
    <row r="51" ht="15" customHeight="1" s="20">
      <c r="A51" s="22" t="inlineStr">
        <is>
          <t>OVERHEAD &amp; FOUNDER PAY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 ht="15" customHeight="1" s="20">
      <c r="A52" s="27" t="n"/>
      <c r="B52" s="28" t="n">
        <v>2027</v>
      </c>
      <c r="C52" s="28" t="n">
        <v>2028</v>
      </c>
      <c r="D52" s="28" t="n">
        <v>2029</v>
      </c>
      <c r="E52" s="28" t="n">
        <v>2030</v>
      </c>
      <c r="F52" s="28" t="n">
        <v>2031</v>
      </c>
      <c r="G52" s="28" t="n">
        <v>2032</v>
      </c>
      <c r="H52" s="28" t="n">
        <v>2033</v>
      </c>
      <c r="I52" s="28" t="n">
        <v>2034</v>
      </c>
      <c r="J52" s="28" t="n">
        <v>2035</v>
      </c>
      <c r="K52" s="28" t="n">
        <v>2036</v>
      </c>
    </row>
    <row r="53" ht="15" customHeight="1" s="20">
      <c r="A53" s="24" t="inlineStr">
        <is>
          <t>Overhead (manual input)</t>
        </is>
      </c>
      <c r="B53" s="45" t="n">
        <v>8000</v>
      </c>
      <c r="C53" s="45" t="n">
        <v>8000</v>
      </c>
      <c r="D53" s="45" t="n">
        <v>8000</v>
      </c>
      <c r="E53" s="45" t="n">
        <v>39000</v>
      </c>
      <c r="F53" s="45" t="n">
        <v>39000</v>
      </c>
      <c r="G53" s="45" t="n">
        <v>39000</v>
      </c>
      <c r="H53" s="45" t="n">
        <v>55000</v>
      </c>
      <c r="I53" s="45" t="n">
        <v>56000</v>
      </c>
      <c r="J53" s="45" t="n">
        <v>58000</v>
      </c>
      <c r="K53" s="45" t="n">
        <v>60000</v>
      </c>
    </row>
    <row r="54" ht="15" customHeight="1" s="20">
      <c r="A54" s="49" t="inlineStr">
        <is>
          <t xml:space="preserve">  Overhead jumps when new hires are added (part-time producer in 2030, additional staff in 2033). Cannot be modeled with a growth rate.</t>
        </is>
      </c>
    </row>
    <row r="55" ht="15" customHeight="1" s="20">
      <c r="A55" s="24" t="inlineStr">
        <is>
          <t>Founder Pay (2027-2031: manual / 2032+: auto +4%/yr)</t>
        </is>
      </c>
      <c r="B55" s="45" t="n">
        <v>10000</v>
      </c>
      <c r="C55" s="45" t="n">
        <v>20000</v>
      </c>
      <c r="D55" s="45" t="n">
        <v>30000</v>
      </c>
      <c r="E55" s="45" t="n">
        <v>50000</v>
      </c>
      <c r="F55" s="45" t="n">
        <v>70000</v>
      </c>
      <c r="G55" s="29">
        <f>F55*1.04</f>
        <v/>
      </c>
      <c r="H55" s="29">
        <f>G55*1.04</f>
        <v/>
      </c>
      <c r="I55" s="29">
        <f>H55*1.04</f>
        <v/>
      </c>
      <c r="J55" s="29">
        <f>I55*1.04</f>
        <v/>
      </c>
      <c r="K55" s="29">
        <f>J55*1.04</f>
        <v/>
      </c>
    </row>
    <row r="56"/>
    <row r="57">
      <c r="A57" s="60" t="inlineStr">
        <is>
          <t>TOTAL COST</t>
        </is>
      </c>
      <c r="B57">
        <f>B49+B53+B55</f>
        <v/>
      </c>
      <c r="C57">
        <f>C49+C53+C55</f>
        <v/>
      </c>
      <c r="D57">
        <f>D49+D53+D55</f>
        <v/>
      </c>
      <c r="E57">
        <f>E49+E53+E55</f>
        <v/>
      </c>
      <c r="F57">
        <f>F49+F53+F55</f>
        <v/>
      </c>
      <c r="G57">
        <f>G49+G53+G55</f>
        <v/>
      </c>
      <c r="H57">
        <f>H49+H53+H55</f>
        <v/>
      </c>
      <c r="I57">
        <f>I49+I53+I55</f>
        <v/>
      </c>
      <c r="J57">
        <f>J49+J53+J55</f>
        <v/>
      </c>
      <c r="K57">
        <f>K49+K53+K55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0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2026-10-01T15:50:55Z</dcterms:created>
  <dcterms:modified xsi:type="dcterms:W3CDTF">2026-10-01T18:24:29Z</dcterms:modified>
  <cp:revision>1</cp:revision>
</cp:coreProperties>
</file>
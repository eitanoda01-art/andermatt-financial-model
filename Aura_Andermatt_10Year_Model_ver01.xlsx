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itan\Downloads\"/>
    </mc:Choice>
  </mc:AlternateContent>
  <xr:revisionPtr revIDLastSave="0" documentId="13_ncr:1_{C5955845-89F2-42EA-A4AD-633C69B48224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Instructions" sheetId="1" r:id="rId1"/>
    <sheet name="Dashboard" sheetId="2" r:id="rId2"/>
    <sheet name="P&amp;L" sheetId="4" r:id="rId3"/>
    <sheet name="Revenue" sheetId="3" r:id="rId4"/>
    <sheet name="Cost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5" l="1"/>
  <c r="H55" i="5" s="1"/>
  <c r="B41" i="5"/>
  <c r="C39" i="5"/>
  <c r="D39" i="5" s="1"/>
  <c r="E39" i="5" s="1"/>
  <c r="F39" i="5" s="1"/>
  <c r="G39" i="5" s="1"/>
  <c r="H39" i="5" s="1"/>
  <c r="I39" i="5" s="1"/>
  <c r="J39" i="5" s="1"/>
  <c r="K39" i="5" s="1"/>
  <c r="C38" i="5"/>
  <c r="D38" i="5" s="1"/>
  <c r="E38" i="5" s="1"/>
  <c r="F38" i="5" s="1"/>
  <c r="G38" i="5" s="1"/>
  <c r="H38" i="5" s="1"/>
  <c r="I38" i="5" s="1"/>
  <c r="J38" i="5" s="1"/>
  <c r="K38" i="5" s="1"/>
  <c r="C37" i="5"/>
  <c r="D37" i="5" s="1"/>
  <c r="E37" i="5" s="1"/>
  <c r="F37" i="5" s="1"/>
  <c r="G37" i="5" s="1"/>
  <c r="H37" i="5" s="1"/>
  <c r="I37" i="5" s="1"/>
  <c r="J37" i="5" s="1"/>
  <c r="K37" i="5" s="1"/>
  <c r="C36" i="5"/>
  <c r="D36" i="5" s="1"/>
  <c r="E36" i="5" s="1"/>
  <c r="F36" i="5" s="1"/>
  <c r="G36" i="5" s="1"/>
  <c r="H36" i="5" s="1"/>
  <c r="I36" i="5" s="1"/>
  <c r="J36" i="5" s="1"/>
  <c r="K36" i="5" s="1"/>
  <c r="C35" i="5"/>
  <c r="D35" i="5" s="1"/>
  <c r="E35" i="5" s="1"/>
  <c r="F35" i="5" s="1"/>
  <c r="G35" i="5" s="1"/>
  <c r="H35" i="5" s="1"/>
  <c r="I35" i="5" s="1"/>
  <c r="J35" i="5" s="1"/>
  <c r="K35" i="5" s="1"/>
  <c r="C34" i="5"/>
  <c r="D34" i="5" s="1"/>
  <c r="E34" i="5" s="1"/>
  <c r="F34" i="5" s="1"/>
  <c r="G34" i="5" s="1"/>
  <c r="H34" i="5" s="1"/>
  <c r="I34" i="5" s="1"/>
  <c r="J34" i="5" s="1"/>
  <c r="K34" i="5" s="1"/>
  <c r="C33" i="5"/>
  <c r="B29" i="5"/>
  <c r="K27" i="5"/>
  <c r="J27" i="5"/>
  <c r="I27" i="5"/>
  <c r="H27" i="5"/>
  <c r="G27" i="5"/>
  <c r="F27" i="5"/>
  <c r="E27" i="5"/>
  <c r="D27" i="5"/>
  <c r="C27" i="5"/>
  <c r="K26" i="5"/>
  <c r="K29" i="5" s="1"/>
  <c r="J26" i="5"/>
  <c r="J29" i="5" s="1"/>
  <c r="I26" i="5"/>
  <c r="I29" i="5" s="1"/>
  <c r="H26" i="5"/>
  <c r="H29" i="5" s="1"/>
  <c r="G26" i="5"/>
  <c r="G29" i="5" s="1"/>
  <c r="F26" i="5"/>
  <c r="F29" i="5" s="1"/>
  <c r="E26" i="5"/>
  <c r="E29" i="5" s="1"/>
  <c r="D26" i="5"/>
  <c r="D29" i="5" s="1"/>
  <c r="C26" i="5"/>
  <c r="C29" i="5" s="1"/>
  <c r="B22" i="5"/>
  <c r="B45" i="5" s="1"/>
  <c r="C20" i="5"/>
  <c r="D20" i="5" s="1"/>
  <c r="E20" i="5" s="1"/>
  <c r="F20" i="5" s="1"/>
  <c r="G20" i="5" s="1"/>
  <c r="H20" i="5" s="1"/>
  <c r="I20" i="5" s="1"/>
  <c r="J20" i="5" s="1"/>
  <c r="K20" i="5" s="1"/>
  <c r="C19" i="5"/>
  <c r="D19" i="5" s="1"/>
  <c r="E19" i="5" s="1"/>
  <c r="F19" i="5" s="1"/>
  <c r="G19" i="5" s="1"/>
  <c r="H19" i="5" s="1"/>
  <c r="I19" i="5" s="1"/>
  <c r="J19" i="5" s="1"/>
  <c r="K19" i="5" s="1"/>
  <c r="D18" i="5"/>
  <c r="E18" i="5" s="1"/>
  <c r="F18" i="5" s="1"/>
  <c r="G18" i="5" s="1"/>
  <c r="H18" i="5" s="1"/>
  <c r="I18" i="5" s="1"/>
  <c r="J18" i="5" s="1"/>
  <c r="K18" i="5" s="1"/>
  <c r="C18" i="5"/>
  <c r="C17" i="5"/>
  <c r="D17" i="5" s="1"/>
  <c r="E17" i="5" s="1"/>
  <c r="F17" i="5" s="1"/>
  <c r="G17" i="5" s="1"/>
  <c r="H17" i="5" s="1"/>
  <c r="I17" i="5" s="1"/>
  <c r="J17" i="5" s="1"/>
  <c r="K17" i="5" s="1"/>
  <c r="C16" i="5"/>
  <c r="G22" i="4"/>
  <c r="F22" i="4"/>
  <c r="E22" i="4"/>
  <c r="D22" i="4"/>
  <c r="C22" i="4"/>
  <c r="B22" i="4"/>
  <c r="K21" i="4"/>
  <c r="J21" i="4"/>
  <c r="I21" i="4"/>
  <c r="H21" i="4"/>
  <c r="G21" i="4"/>
  <c r="F21" i="4"/>
  <c r="E21" i="4"/>
  <c r="D21" i="4"/>
  <c r="C21" i="4"/>
  <c r="B21" i="4"/>
  <c r="B15" i="4"/>
  <c r="K14" i="4"/>
  <c r="J14" i="4"/>
  <c r="I14" i="4"/>
  <c r="H14" i="4"/>
  <c r="G14" i="4"/>
  <c r="F14" i="4"/>
  <c r="E14" i="4"/>
  <c r="D14" i="4"/>
  <c r="C14" i="4"/>
  <c r="B14" i="4"/>
  <c r="K12" i="4"/>
  <c r="J12" i="4"/>
  <c r="I12" i="4"/>
  <c r="H12" i="4"/>
  <c r="G12" i="4"/>
  <c r="F12" i="4"/>
  <c r="E12" i="4"/>
  <c r="D12" i="4"/>
  <c r="C12" i="4"/>
  <c r="B12" i="4"/>
  <c r="C107" i="3"/>
  <c r="B95" i="3"/>
  <c r="B89" i="3"/>
  <c r="B83" i="3"/>
  <c r="B77" i="3"/>
  <c r="B71" i="3"/>
  <c r="F54" i="3"/>
  <c r="E54" i="3"/>
  <c r="D54" i="3"/>
  <c r="C54" i="3"/>
  <c r="B54" i="3"/>
  <c r="F50" i="3"/>
  <c r="E50" i="3"/>
  <c r="D50" i="3"/>
  <c r="C50" i="3"/>
  <c r="B50" i="3"/>
  <c r="F46" i="3"/>
  <c r="F56" i="3" s="1"/>
  <c r="E46" i="3"/>
  <c r="E56" i="3" s="1"/>
  <c r="E11" i="4" s="1"/>
  <c r="D46" i="3"/>
  <c r="D56" i="3" s="1"/>
  <c r="D11" i="4" s="1"/>
  <c r="C46" i="3"/>
  <c r="C56" i="3" s="1"/>
  <c r="C11" i="4" s="1"/>
  <c r="B46" i="3"/>
  <c r="B56" i="3" s="1"/>
  <c r="B11" i="4" s="1"/>
  <c r="B34" i="3"/>
  <c r="C34" i="3" s="1"/>
  <c r="D34" i="3" s="1"/>
  <c r="E34" i="3" s="1"/>
  <c r="F34" i="3" s="1"/>
  <c r="G34" i="3" s="1"/>
  <c r="H34" i="3" s="1"/>
  <c r="I34" i="3" s="1"/>
  <c r="J34" i="3" s="1"/>
  <c r="K34" i="3" s="1"/>
  <c r="B33" i="3"/>
  <c r="C33" i="3" s="1"/>
  <c r="D33" i="3" s="1"/>
  <c r="E33" i="3" s="1"/>
  <c r="F33" i="3" s="1"/>
  <c r="G33" i="3" s="1"/>
  <c r="H33" i="3" s="1"/>
  <c r="I33" i="3" s="1"/>
  <c r="J33" i="3" s="1"/>
  <c r="K33" i="3" s="1"/>
  <c r="B32" i="3"/>
  <c r="C32" i="3" s="1"/>
  <c r="D32" i="3" s="1"/>
  <c r="E32" i="3" s="1"/>
  <c r="F32" i="3" s="1"/>
  <c r="G32" i="3" s="1"/>
  <c r="H32" i="3" s="1"/>
  <c r="I32" i="3" s="1"/>
  <c r="J32" i="3" s="1"/>
  <c r="K32" i="3" s="1"/>
  <c r="K30" i="3"/>
  <c r="K38" i="3" s="1"/>
  <c r="J30" i="3"/>
  <c r="J38" i="3" s="1"/>
  <c r="I30" i="3"/>
  <c r="I38" i="3" s="1"/>
  <c r="H30" i="3"/>
  <c r="H38" i="3" s="1"/>
  <c r="G30" i="3"/>
  <c r="G38" i="3" s="1"/>
  <c r="F30" i="3"/>
  <c r="F38" i="3" s="1"/>
  <c r="E30" i="3"/>
  <c r="E38" i="3" s="1"/>
  <c r="D30" i="3"/>
  <c r="D38" i="3" s="1"/>
  <c r="C30" i="3"/>
  <c r="C38" i="3" s="1"/>
  <c r="B30" i="3"/>
  <c r="B38" i="3" s="1"/>
  <c r="K29" i="3"/>
  <c r="K37" i="3" s="1"/>
  <c r="J29" i="3"/>
  <c r="J37" i="3" s="1"/>
  <c r="I29" i="3"/>
  <c r="I37" i="3" s="1"/>
  <c r="H29" i="3"/>
  <c r="H37" i="3" s="1"/>
  <c r="G29" i="3"/>
  <c r="G37" i="3" s="1"/>
  <c r="F29" i="3"/>
  <c r="F37" i="3" s="1"/>
  <c r="E29" i="3"/>
  <c r="E37" i="3" s="1"/>
  <c r="D29" i="3"/>
  <c r="D37" i="3" s="1"/>
  <c r="C29" i="3"/>
  <c r="C37" i="3" s="1"/>
  <c r="B29" i="3"/>
  <c r="B37" i="3" s="1"/>
  <c r="K28" i="3"/>
  <c r="K36" i="3" s="1"/>
  <c r="K39" i="3" s="1"/>
  <c r="K40" i="3" s="1"/>
  <c r="J28" i="3"/>
  <c r="J36" i="3" s="1"/>
  <c r="J39" i="3" s="1"/>
  <c r="J40" i="3" s="1"/>
  <c r="I28" i="3"/>
  <c r="I36" i="3" s="1"/>
  <c r="I39" i="3" s="1"/>
  <c r="I40" i="3" s="1"/>
  <c r="H28" i="3"/>
  <c r="H36" i="3" s="1"/>
  <c r="H39" i="3" s="1"/>
  <c r="H40" i="3" s="1"/>
  <c r="G28" i="3"/>
  <c r="G36" i="3" s="1"/>
  <c r="F28" i="3"/>
  <c r="F36" i="3" s="1"/>
  <c r="F39" i="3" s="1"/>
  <c r="F40" i="3" s="1"/>
  <c r="E28" i="3"/>
  <c r="E36" i="3" s="1"/>
  <c r="E39" i="3" s="1"/>
  <c r="E40" i="3" s="1"/>
  <c r="D28" i="3"/>
  <c r="D36" i="3" s="1"/>
  <c r="D39" i="3" s="1"/>
  <c r="D40" i="3" s="1"/>
  <c r="C28" i="3"/>
  <c r="C36" i="3" s="1"/>
  <c r="C39" i="3" s="1"/>
  <c r="C40" i="3" s="1"/>
  <c r="B28" i="3"/>
  <c r="B36" i="3" s="1"/>
  <c r="B39" i="3" s="1"/>
  <c r="B40" i="3" s="1"/>
  <c r="G39" i="3" l="1"/>
  <c r="G40" i="3" s="1"/>
  <c r="G10" i="4" s="1"/>
  <c r="I55" i="5"/>
  <c r="H22" i="4"/>
  <c r="C41" i="5"/>
  <c r="D33" i="5"/>
  <c r="B46" i="5"/>
  <c r="B47" i="5"/>
  <c r="C22" i="5"/>
  <c r="C45" i="5" s="1"/>
  <c r="D16" i="5"/>
  <c r="C15" i="4"/>
  <c r="D107" i="3"/>
  <c r="B96" i="3"/>
  <c r="C95" i="3"/>
  <c r="B90" i="3"/>
  <c r="C89" i="3"/>
  <c r="B84" i="3"/>
  <c r="C83" i="3"/>
  <c r="B78" i="3"/>
  <c r="C77" i="3"/>
  <c r="B72" i="3"/>
  <c r="C71" i="3"/>
  <c r="G56" i="3"/>
  <c r="G11" i="4" s="1"/>
  <c r="H56" i="3"/>
  <c r="H11" i="4" s="1"/>
  <c r="I56" i="3"/>
  <c r="I11" i="4" s="1"/>
  <c r="J56" i="3"/>
  <c r="J11" i="4" s="1"/>
  <c r="K56" i="3"/>
  <c r="K11" i="4" s="1"/>
  <c r="F11" i="4"/>
  <c r="E13" i="2"/>
  <c r="E25" i="2"/>
  <c r="E37" i="2"/>
  <c r="D13" i="2"/>
  <c r="D25" i="2"/>
  <c r="D37" i="2"/>
  <c r="C13" i="2"/>
  <c r="C25" i="2"/>
  <c r="C37" i="2"/>
  <c r="B13" i="2"/>
  <c r="B25" i="2"/>
  <c r="B37" i="2"/>
  <c r="K10" i="4"/>
  <c r="J10" i="4"/>
  <c r="I10" i="4"/>
  <c r="H10" i="4"/>
  <c r="F10" i="4"/>
  <c r="E10" i="4"/>
  <c r="D10" i="4"/>
  <c r="C10" i="4"/>
  <c r="B10" i="4"/>
  <c r="J55" i="5" l="1"/>
  <c r="I22" i="4"/>
  <c r="E33" i="5"/>
  <c r="D41" i="5"/>
  <c r="B48" i="5"/>
  <c r="B49" i="5" s="1"/>
  <c r="C46" i="5"/>
  <c r="C47" i="5" s="1"/>
  <c r="E16" i="5"/>
  <c r="D22" i="5"/>
  <c r="D45" i="5" s="1"/>
  <c r="E107" i="3"/>
  <c r="D15" i="4"/>
  <c r="D95" i="3"/>
  <c r="C96" i="3"/>
  <c r="D89" i="3"/>
  <c r="C90" i="3"/>
  <c r="D83" i="3"/>
  <c r="C84" i="3"/>
  <c r="D77" i="3"/>
  <c r="C78" i="3"/>
  <c r="D71" i="3"/>
  <c r="C72" i="3"/>
  <c r="G13" i="2"/>
  <c r="G25" i="2"/>
  <c r="G37" i="2"/>
  <c r="H13" i="2"/>
  <c r="H25" i="2"/>
  <c r="H37" i="2"/>
  <c r="I13" i="2"/>
  <c r="I25" i="2"/>
  <c r="I37" i="2"/>
  <c r="J13" i="2"/>
  <c r="J25" i="2"/>
  <c r="J37" i="2"/>
  <c r="K13" i="2"/>
  <c r="K25" i="2"/>
  <c r="K37" i="2"/>
  <c r="F13" i="2"/>
  <c r="F25" i="2"/>
  <c r="F37" i="2"/>
  <c r="K12" i="2"/>
  <c r="K24" i="2"/>
  <c r="K36" i="2"/>
  <c r="J12" i="2"/>
  <c r="J24" i="2"/>
  <c r="J36" i="2"/>
  <c r="I12" i="2"/>
  <c r="I24" i="2"/>
  <c r="I36" i="2"/>
  <c r="H12" i="2"/>
  <c r="H24" i="2"/>
  <c r="H36" i="2"/>
  <c r="G12" i="2"/>
  <c r="G24" i="2"/>
  <c r="G36" i="2"/>
  <c r="F12" i="2"/>
  <c r="F24" i="2"/>
  <c r="F36" i="2"/>
  <c r="E12" i="2"/>
  <c r="E24" i="2"/>
  <c r="E36" i="2"/>
  <c r="D12" i="2"/>
  <c r="D24" i="2"/>
  <c r="D36" i="2"/>
  <c r="C12" i="2"/>
  <c r="C24" i="2"/>
  <c r="C36" i="2"/>
  <c r="B12" i="2"/>
  <c r="B24" i="2"/>
  <c r="B36" i="2"/>
  <c r="B98" i="3"/>
  <c r="C98" i="3" l="1"/>
  <c r="K55" i="5"/>
  <c r="K22" i="4" s="1"/>
  <c r="J22" i="4"/>
  <c r="F33" i="5"/>
  <c r="E41" i="5"/>
  <c r="B57" i="5"/>
  <c r="B20" i="4"/>
  <c r="C48" i="5"/>
  <c r="C49" i="5" s="1"/>
  <c r="E22" i="5"/>
  <c r="E45" i="5" s="1"/>
  <c r="F16" i="5"/>
  <c r="D46" i="5"/>
  <c r="D47" i="5" s="1"/>
  <c r="F107" i="3"/>
  <c r="E15" i="4"/>
  <c r="E95" i="3"/>
  <c r="D96" i="3"/>
  <c r="E89" i="3"/>
  <c r="D90" i="3"/>
  <c r="E83" i="3"/>
  <c r="D84" i="3"/>
  <c r="E77" i="3"/>
  <c r="D78" i="3"/>
  <c r="E71" i="3"/>
  <c r="D72" i="3"/>
  <c r="B112" i="3"/>
  <c r="B13" i="4"/>
  <c r="D98" i="3" l="1"/>
  <c r="C112" i="3"/>
  <c r="C113" i="3" s="1"/>
  <c r="C114" i="3" s="1"/>
  <c r="C17" i="4" s="1"/>
  <c r="C13" i="4"/>
  <c r="G33" i="5"/>
  <c r="F41" i="5"/>
  <c r="B24" i="4"/>
  <c r="B16" i="2"/>
  <c r="B28" i="2"/>
  <c r="B40" i="2"/>
  <c r="C57" i="5"/>
  <c r="C20" i="4"/>
  <c r="E46" i="5"/>
  <c r="E47" i="5" s="1"/>
  <c r="G16" i="5"/>
  <c r="F22" i="5"/>
  <c r="D48" i="5"/>
  <c r="D49" i="5" s="1"/>
  <c r="G107" i="3"/>
  <c r="F15" i="4"/>
  <c r="F95" i="3"/>
  <c r="E96" i="3"/>
  <c r="F89" i="3"/>
  <c r="E90" i="3"/>
  <c r="F83" i="3"/>
  <c r="E84" i="3"/>
  <c r="F77" i="3"/>
  <c r="E78" i="3"/>
  <c r="F71" i="3"/>
  <c r="E72" i="3"/>
  <c r="B113" i="3"/>
  <c r="B114" i="3" s="1"/>
  <c r="B17" i="4" s="1"/>
  <c r="B38" i="2"/>
  <c r="B39" i="2" s="1"/>
  <c r="B26" i="2"/>
  <c r="B27" i="2" s="1"/>
  <c r="B14" i="2"/>
  <c r="B15" i="2" s="1"/>
  <c r="D13" i="4" l="1"/>
  <c r="D112" i="3"/>
  <c r="D113" i="3" s="1"/>
  <c r="D114" i="3" s="1"/>
  <c r="D17" i="4" s="1"/>
  <c r="B27" i="4"/>
  <c r="B28" i="4" s="1"/>
  <c r="B29" i="4" s="1"/>
  <c r="B30" i="4" s="1"/>
  <c r="B41" i="2"/>
  <c r="B42" i="2" s="1"/>
  <c r="B43" i="2" s="1"/>
  <c r="B29" i="2"/>
  <c r="B30" i="2" s="1"/>
  <c r="B31" i="2" s="1"/>
  <c r="B17" i="2"/>
  <c r="B18" i="2" s="1"/>
  <c r="B19" i="2" s="1"/>
  <c r="C38" i="2"/>
  <c r="C39" i="2" s="1"/>
  <c r="C14" i="2"/>
  <c r="C15" i="2" s="1"/>
  <c r="C26" i="2"/>
  <c r="C27" i="2" s="1"/>
  <c r="E98" i="3"/>
  <c r="H33" i="5"/>
  <c r="G41" i="5"/>
  <c r="C16" i="2"/>
  <c r="C28" i="2"/>
  <c r="C40" i="2"/>
  <c r="C24" i="4"/>
  <c r="C27" i="4" s="1"/>
  <c r="E48" i="5"/>
  <c r="E49" i="5" s="1"/>
  <c r="H16" i="5"/>
  <c r="G22" i="5"/>
  <c r="D57" i="5"/>
  <c r="D20" i="4"/>
  <c r="G15" i="4"/>
  <c r="H107" i="3"/>
  <c r="G95" i="3"/>
  <c r="F96" i="3"/>
  <c r="G89" i="3"/>
  <c r="F90" i="3"/>
  <c r="G83" i="3"/>
  <c r="F84" i="3"/>
  <c r="G77" i="3"/>
  <c r="F78" i="3"/>
  <c r="G71" i="3"/>
  <c r="F72" i="3"/>
  <c r="F45" i="5"/>
  <c r="D14" i="2" l="1"/>
  <c r="D15" i="2" s="1"/>
  <c r="D38" i="2"/>
  <c r="D39" i="2" s="1"/>
  <c r="D26" i="2"/>
  <c r="D27" i="2" s="1"/>
  <c r="C17" i="2"/>
  <c r="C18" i="2" s="1"/>
  <c r="C19" i="2" s="1"/>
  <c r="C29" i="2"/>
  <c r="C30" i="2" s="1"/>
  <c r="C31" i="2" s="1"/>
  <c r="C41" i="2"/>
  <c r="C42" i="2" s="1"/>
  <c r="C43" i="2" s="1"/>
  <c r="F98" i="3"/>
  <c r="E13" i="4"/>
  <c r="E112" i="3"/>
  <c r="E113" i="3" s="1"/>
  <c r="E114" i="3" s="1"/>
  <c r="E17" i="4" s="1"/>
  <c r="C28" i="4"/>
  <c r="C29" i="4" s="1"/>
  <c r="C30" i="4" s="1"/>
  <c r="I33" i="5"/>
  <c r="H41" i="5"/>
  <c r="E57" i="5"/>
  <c r="E20" i="4"/>
  <c r="H22" i="5"/>
  <c r="H45" i="5" s="1"/>
  <c r="I16" i="5"/>
  <c r="D24" i="4"/>
  <c r="D27" i="4" s="1"/>
  <c r="D28" i="4" s="1"/>
  <c r="D29" i="4" s="1"/>
  <c r="D16" i="2"/>
  <c r="D28" i="2"/>
  <c r="D40" i="2"/>
  <c r="H15" i="4"/>
  <c r="I107" i="3"/>
  <c r="H95" i="3"/>
  <c r="G96" i="3"/>
  <c r="H89" i="3"/>
  <c r="G90" i="3"/>
  <c r="H83" i="3"/>
  <c r="G84" i="3"/>
  <c r="H77" i="3"/>
  <c r="G78" i="3"/>
  <c r="H71" i="3"/>
  <c r="G72" i="3"/>
  <c r="B44" i="2"/>
  <c r="D5" i="2"/>
  <c r="B32" i="2"/>
  <c r="B5" i="2"/>
  <c r="B20" i="2"/>
  <c r="C5" i="2"/>
  <c r="F46" i="5"/>
  <c r="F47" i="5" s="1"/>
  <c r="G45" i="5"/>
  <c r="D17" i="2" l="1"/>
  <c r="D18" i="2" s="1"/>
  <c r="D19" i="2" s="1"/>
  <c r="D29" i="2"/>
  <c r="D30" i="2" s="1"/>
  <c r="D31" i="2" s="1"/>
  <c r="D41" i="2"/>
  <c r="D42" i="2" s="1"/>
  <c r="D43" i="2" s="1"/>
  <c r="C32" i="2"/>
  <c r="C44" i="2"/>
  <c r="G98" i="3"/>
  <c r="F112" i="3"/>
  <c r="F113" i="3" s="1"/>
  <c r="F114" i="3" s="1"/>
  <c r="F17" i="4" s="1"/>
  <c r="F13" i="4"/>
  <c r="E26" i="2"/>
  <c r="E27" i="2" s="1"/>
  <c r="E14" i="2"/>
  <c r="E15" i="2" s="1"/>
  <c r="E38" i="2"/>
  <c r="E39" i="2" s="1"/>
  <c r="D30" i="4"/>
  <c r="J33" i="5"/>
  <c r="I41" i="5"/>
  <c r="E24" i="4"/>
  <c r="E27" i="4" s="1"/>
  <c r="E28" i="4" s="1"/>
  <c r="E29" i="4" s="1"/>
  <c r="E16" i="2"/>
  <c r="E28" i="2"/>
  <c r="E40" i="2"/>
  <c r="H46" i="5"/>
  <c r="H47" i="5"/>
  <c r="J16" i="5"/>
  <c r="I22" i="5"/>
  <c r="I45" i="5" s="1"/>
  <c r="J107" i="3"/>
  <c r="I15" i="4"/>
  <c r="I95" i="3"/>
  <c r="H96" i="3"/>
  <c r="I89" i="3"/>
  <c r="H90" i="3"/>
  <c r="I83" i="3"/>
  <c r="H84" i="3"/>
  <c r="I77" i="3"/>
  <c r="H78" i="3"/>
  <c r="I71" i="3"/>
  <c r="H72" i="3"/>
  <c r="F48" i="5"/>
  <c r="F49" i="5" s="1"/>
  <c r="G46" i="5"/>
  <c r="G47" i="5" s="1"/>
  <c r="C20" i="2"/>
  <c r="E17" i="2" l="1"/>
  <c r="E18" i="2" s="1"/>
  <c r="E19" i="2" s="1"/>
  <c r="E29" i="2"/>
  <c r="E30" i="2" s="1"/>
  <c r="E31" i="2" s="1"/>
  <c r="D32" i="2"/>
  <c r="D44" i="2"/>
  <c r="E30" i="4"/>
  <c r="G112" i="3"/>
  <c r="G113" i="3" s="1"/>
  <c r="G114" i="3" s="1"/>
  <c r="G17" i="4" s="1"/>
  <c r="G13" i="4"/>
  <c r="H98" i="3"/>
  <c r="E41" i="2"/>
  <c r="E42" i="2" s="1"/>
  <c r="E43" i="2" s="1"/>
  <c r="F14" i="2"/>
  <c r="F15" i="2" s="1"/>
  <c r="F26" i="2"/>
  <c r="F27" i="2" s="1"/>
  <c r="F38" i="2"/>
  <c r="F39" i="2" s="1"/>
  <c r="K33" i="5"/>
  <c r="K41" i="5" s="1"/>
  <c r="J41" i="5"/>
  <c r="H48" i="5"/>
  <c r="H49" i="5"/>
  <c r="K16" i="5"/>
  <c r="K22" i="5" s="1"/>
  <c r="K45" i="5" s="1"/>
  <c r="J22" i="5"/>
  <c r="J45" i="5" s="1"/>
  <c r="I46" i="5"/>
  <c r="I47" i="5" s="1"/>
  <c r="J15" i="4"/>
  <c r="K107" i="3"/>
  <c r="K15" i="4" s="1"/>
  <c r="J95" i="3"/>
  <c r="I96" i="3"/>
  <c r="J89" i="3"/>
  <c r="I90" i="3"/>
  <c r="J83" i="3"/>
  <c r="I84" i="3"/>
  <c r="J77" i="3"/>
  <c r="I78" i="3"/>
  <c r="J71" i="3"/>
  <c r="I72" i="3"/>
  <c r="F57" i="5"/>
  <c r="F20" i="4"/>
  <c r="G48" i="5"/>
  <c r="G49" i="5" s="1"/>
  <c r="D20" i="2"/>
  <c r="E44" i="2" l="1"/>
  <c r="E32" i="2"/>
  <c r="E20" i="2"/>
  <c r="G14" i="2"/>
  <c r="G15" i="2" s="1"/>
  <c r="G38" i="2"/>
  <c r="G39" i="2" s="1"/>
  <c r="G26" i="2"/>
  <c r="G27" i="2" s="1"/>
  <c r="H112" i="3"/>
  <c r="H113" i="3" s="1"/>
  <c r="H114" i="3" s="1"/>
  <c r="H17" i="4" s="1"/>
  <c r="H13" i="4"/>
  <c r="H57" i="5"/>
  <c r="H20" i="4"/>
  <c r="K46" i="5"/>
  <c r="K47" i="5" s="1"/>
  <c r="J46" i="5"/>
  <c r="J47" i="5" s="1"/>
  <c r="I48" i="5"/>
  <c r="I49" i="5" s="1"/>
  <c r="K95" i="3"/>
  <c r="K96" i="3" s="1"/>
  <c r="J96" i="3"/>
  <c r="K89" i="3"/>
  <c r="K90" i="3" s="1"/>
  <c r="J90" i="3"/>
  <c r="K83" i="3"/>
  <c r="K84" i="3" s="1"/>
  <c r="J84" i="3"/>
  <c r="K77" i="3"/>
  <c r="K78" i="3" s="1"/>
  <c r="J78" i="3"/>
  <c r="K71" i="3"/>
  <c r="K72" i="3" s="1"/>
  <c r="J72" i="3"/>
  <c r="F24" i="4"/>
  <c r="F27" i="4" s="1"/>
  <c r="F16" i="2"/>
  <c r="F17" i="2" s="1"/>
  <c r="F28" i="2"/>
  <c r="F29" i="2" s="1"/>
  <c r="F40" i="2"/>
  <c r="F41" i="2" s="1"/>
  <c r="G57" i="5"/>
  <c r="G20" i="4"/>
  <c r="I98" i="3"/>
  <c r="H38" i="2" l="1"/>
  <c r="H39" i="2" s="1"/>
  <c r="H14" i="2"/>
  <c r="H15" i="2" s="1"/>
  <c r="H26" i="2"/>
  <c r="H27" i="2" s="1"/>
  <c r="H16" i="2"/>
  <c r="H28" i="2"/>
  <c r="H40" i="2"/>
  <c r="H24" i="4"/>
  <c r="H27" i="4" s="1"/>
  <c r="H28" i="4" s="1"/>
  <c r="H29" i="4" s="1"/>
  <c r="K48" i="5"/>
  <c r="K49" i="5"/>
  <c r="J48" i="5"/>
  <c r="J49" i="5" s="1"/>
  <c r="I57" i="5"/>
  <c r="I20" i="4"/>
  <c r="F28" i="4"/>
  <c r="F29" i="4" s="1"/>
  <c r="F30" i="4" s="1"/>
  <c r="F18" i="2"/>
  <c r="F19" i="2" s="1"/>
  <c r="F20" i="2" s="1"/>
  <c r="F30" i="2"/>
  <c r="F31" i="2" s="1"/>
  <c r="F32" i="2" s="1"/>
  <c r="F42" i="2"/>
  <c r="F43" i="2" s="1"/>
  <c r="F44" i="2" s="1"/>
  <c r="G24" i="4"/>
  <c r="G27" i="4" s="1"/>
  <c r="G16" i="2"/>
  <c r="G17" i="2" s="1"/>
  <c r="G28" i="2"/>
  <c r="G29" i="2" s="1"/>
  <c r="G40" i="2"/>
  <c r="G41" i="2" s="1"/>
  <c r="I13" i="4"/>
  <c r="I112" i="3"/>
  <c r="K98" i="3"/>
  <c r="J98" i="3"/>
  <c r="H17" i="2" l="1"/>
  <c r="H18" i="2" s="1"/>
  <c r="H19" i="2" s="1"/>
  <c r="H41" i="2"/>
  <c r="H42" i="2" s="1"/>
  <c r="H43" i="2" s="1"/>
  <c r="H29" i="2"/>
  <c r="H30" i="2" s="1"/>
  <c r="H31" i="2" s="1"/>
  <c r="K57" i="5"/>
  <c r="K20" i="4"/>
  <c r="J57" i="5"/>
  <c r="J20" i="4"/>
  <c r="I24" i="4"/>
  <c r="I16" i="2"/>
  <c r="I28" i="2"/>
  <c r="I40" i="2"/>
  <c r="G28" i="4"/>
  <c r="G29" i="4" s="1"/>
  <c r="G30" i="4" s="1"/>
  <c r="H30" i="4" s="1"/>
  <c r="G18" i="2"/>
  <c r="G19" i="2" s="1"/>
  <c r="G20" i="2" s="1"/>
  <c r="G30" i="2"/>
  <c r="G31" i="2" s="1"/>
  <c r="G32" i="2" s="1"/>
  <c r="G42" i="2"/>
  <c r="G43" i="2" s="1"/>
  <c r="G44" i="2" s="1"/>
  <c r="I14" i="2"/>
  <c r="I15" i="2" s="1"/>
  <c r="I38" i="2"/>
  <c r="I39" i="2" s="1"/>
  <c r="I26" i="2"/>
  <c r="I27" i="2" s="1"/>
  <c r="I113" i="3"/>
  <c r="I114" i="3" s="1"/>
  <c r="I17" i="4" s="1"/>
  <c r="K13" i="4"/>
  <c r="K112" i="3"/>
  <c r="J13" i="4"/>
  <c r="J112" i="3"/>
  <c r="H20" i="2" l="1"/>
  <c r="H44" i="2"/>
  <c r="H32" i="2"/>
  <c r="K16" i="2"/>
  <c r="K28" i="2"/>
  <c r="K40" i="2"/>
  <c r="K24" i="4"/>
  <c r="J24" i="4"/>
  <c r="J16" i="2"/>
  <c r="J28" i="2"/>
  <c r="J40" i="2"/>
  <c r="K38" i="2"/>
  <c r="K39" i="2" s="1"/>
  <c r="K26" i="2"/>
  <c r="K27" i="2" s="1"/>
  <c r="K14" i="2"/>
  <c r="K15" i="2" s="1"/>
  <c r="K113" i="3"/>
  <c r="K114" i="3" s="1"/>
  <c r="K17" i="4" s="1"/>
  <c r="J14" i="2"/>
  <c r="J15" i="2" s="1"/>
  <c r="J38" i="2"/>
  <c r="J39" i="2" s="1"/>
  <c r="J26" i="2"/>
  <c r="J27" i="2" s="1"/>
  <c r="J113" i="3"/>
  <c r="J114" i="3" s="1"/>
  <c r="J17" i="4" s="1"/>
  <c r="I17" i="2"/>
  <c r="I29" i="2"/>
  <c r="I27" i="4"/>
  <c r="I41" i="2"/>
  <c r="J41" i="2" l="1"/>
  <c r="J42" i="2" s="1"/>
  <c r="J43" i="2" s="1"/>
  <c r="K27" i="4"/>
  <c r="K28" i="4" s="1"/>
  <c r="K29" i="4" s="1"/>
  <c r="J29" i="2"/>
  <c r="J30" i="2" s="1"/>
  <c r="J31" i="2" s="1"/>
  <c r="J27" i="4"/>
  <c r="J28" i="4"/>
  <c r="J29" i="4" s="1"/>
  <c r="I18" i="2"/>
  <c r="I19" i="2" s="1"/>
  <c r="I20" i="2" s="1"/>
  <c r="I30" i="2"/>
  <c r="I31" i="2" s="1"/>
  <c r="I32" i="2" s="1"/>
  <c r="I28" i="4"/>
  <c r="I29" i="4" s="1"/>
  <c r="I30" i="4" s="1"/>
  <c r="I42" i="2"/>
  <c r="I43" i="2" s="1"/>
  <c r="I44" i="2" s="1"/>
  <c r="K41" i="2"/>
  <c r="K29" i="2"/>
  <c r="K17" i="2"/>
  <c r="J17" i="2"/>
  <c r="J32" i="2" l="1"/>
  <c r="J30" i="4"/>
  <c r="K30" i="4" s="1"/>
  <c r="K42" i="2"/>
  <c r="K43" i="2" s="1"/>
  <c r="K30" i="2"/>
  <c r="K31" i="2" s="1"/>
  <c r="K18" i="2"/>
  <c r="K19" i="2" s="1"/>
  <c r="J18" i="2"/>
  <c r="J19" i="2" s="1"/>
  <c r="J20" i="2" s="1"/>
  <c r="J44" i="2"/>
  <c r="K32" i="2" l="1"/>
  <c r="B4" i="2" s="1"/>
  <c r="K20" i="2"/>
  <c r="C4" i="2" s="1"/>
  <c r="K44" i="2"/>
  <c r="D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  <author>Model Note</author>
  </authors>
  <commentList>
    <comment ref="B6" authorId="0" shapeId="0" xr:uid="{00000000-0006-0000-0200-000001000000}">
      <text>
        <r>
          <rPr>
            <sz val="11"/>
            <color theme="1"/>
            <rFont val="Calibri"/>
            <family val="2"/>
            <charset val="1"/>
          </rPr>
          <t>Net factor = (1 - 8.1% VAT) × (1 - ~4% platform/payment fees) ≈ 0.89</t>
        </r>
      </text>
    </comment>
    <comment ref="B7" authorId="0" shapeId="0" xr:uid="{00000000-0006-0000-0200-000002000000}">
      <text>
        <r>
          <rPr>
            <sz val="11"/>
            <color theme="1"/>
            <rFont val="Calibri"/>
            <family val="2"/>
            <charset val="1"/>
          </rPr>
          <t>BP states +8%/yr to 2030, +4%/yr after. Two-phase growth as per BP Section 11.</t>
        </r>
      </text>
    </comment>
    <comment ref="B10" authorId="0" shapeId="0" xr:uid="{00000000-0006-0000-0200-000003000000}">
      <text>
        <r>
          <rPr>
            <sz val="11"/>
            <color theme="1"/>
            <rFont val="Calibri"/>
            <family val="2"/>
            <charset val="1"/>
          </rPr>
          <t>Applied to 2031 Partnership Total to auto-calculate 2032-2036.</t>
        </r>
      </text>
    </comment>
    <comment ref="B11" authorId="0" shapeId="0" xr:uid="{00000000-0006-0000-0200-000004000000}">
      <text>
        <r>
          <rPr>
            <sz val="11"/>
            <color theme="1"/>
            <rFont val="Calibri"/>
            <family val="2"/>
            <charset val="1"/>
          </rPr>
          <t>Set to 0 to remove summer edition. Revenue and cost multipliers can differ.
Summer edition revenue and costs are calculated as a percentage of winter edition results.
Source: BP Section 11 — '~55% of winter revenue'.
Note: BP text states ~55%, but BP P&amp;L numbers imply ~43%. Model uses 55% per BP text.</t>
        </r>
      </text>
    </comment>
    <comment ref="B12" authorId="0" shapeId="0" xr:uid="{00000000-0006-0000-0200-000005000000}">
      <text>
        <r>
          <rPr>
            <sz val="11"/>
            <color theme="1"/>
            <rFont val="Calibri"/>
            <family val="2"/>
            <charset val="1"/>
          </rPr>
          <t>Source: BP Section 11 — '~50% of winter costs'.</t>
        </r>
      </text>
    </comment>
    <comment ref="B13" authorId="0" shapeId="0" xr:uid="{00000000-0006-0000-0200-000006000000}">
      <text>
        <r>
          <rPr>
            <sz val="11"/>
            <color theme="1"/>
            <rFont val="Calibri"/>
            <family val="2"/>
            <charset val="1"/>
          </rPr>
          <t>Summer edition starts from this year. BP Section 08: 'July/August from 2027'.</t>
        </r>
      </text>
    </comment>
    <comment ref="D56" authorId="0" shapeId="0" xr:uid="{00000000-0006-0000-0200-000007000000}">
      <text>
        <r>
          <rPr>
            <sz val="11"/>
            <color theme="1"/>
            <rFont val="Calibri"/>
            <family val="2"/>
            <charset val="1"/>
          </rPr>
          <t>Tier breakdown is estimated to match BP totals. Adjust price and count per tier as needed.</t>
        </r>
      </text>
    </comment>
    <comment ref="E56" authorId="0" shapeId="0" xr:uid="{00000000-0006-0000-0200-000008000000}">
      <text>
        <r>
          <rPr>
            <sz val="11"/>
            <color theme="1"/>
            <rFont val="Calibri"/>
            <family val="2"/>
            <charset val="1"/>
          </rPr>
          <t>Tier breakdown is estimated to match BP totals. Adjust price and count per tier as needed.</t>
        </r>
      </text>
    </comment>
    <comment ref="F56" authorId="0" shapeId="0" xr:uid="{00000000-0006-0000-0200-000009000000}">
      <text>
        <r>
          <rPr>
            <sz val="11"/>
            <color theme="1"/>
            <rFont val="Calibri"/>
            <family val="2"/>
            <charset val="1"/>
          </rPr>
          <t>Tier breakdown is estimated to match BP totals. Adjust price and count per tier as needed.</t>
        </r>
      </text>
    </comment>
    <comment ref="J61" authorId="0" shapeId="0" xr:uid="{00000000-0006-0000-0200-00000A000000}">
      <text>
        <r>
          <rPr>
            <sz val="11"/>
            <color theme="1"/>
            <rFont val="Calibri"/>
            <family val="2"/>
            <charset val="1"/>
          </rPr>
          <t>BP states Phase 3 as 30/35/35/40. Adjusted to 30/35/40/45 assuming the 35k repeat was unintentional.</t>
        </r>
      </text>
    </comment>
    <comment ref="B70" authorId="1" shapeId="0" xr:uid="{00000000-0006-0000-0200-00000B000000}">
      <text>
        <r>
          <rPr>
            <sz val="11"/>
            <color theme="1"/>
            <rFont val="Calibri"/>
            <family val="2"/>
            <charset val="1"/>
          </rPr>
          <t>Share rate may be based on profit margin, not gross revenue. Adjust when contract terms are confirmed.</t>
        </r>
      </text>
    </comment>
    <comment ref="B76" authorId="1" shapeId="0" xr:uid="{00000000-0006-0000-0200-00000C000000}">
      <text>
        <r>
          <rPr>
            <sz val="11"/>
            <color theme="1"/>
            <rFont val="Calibri"/>
            <family val="2"/>
            <charset val="1"/>
          </rPr>
          <t>Share rate may be based on profit margin, not gross revenue. Adjust when contract terms are confirmed.</t>
        </r>
      </text>
    </comment>
    <comment ref="B82" authorId="1" shapeId="0" xr:uid="{00000000-0006-0000-0200-00000D000000}">
      <text>
        <r>
          <rPr>
            <sz val="11"/>
            <color theme="1"/>
            <rFont val="Calibri"/>
            <family val="2"/>
            <charset val="1"/>
          </rPr>
          <t>Share rate may be based on profit margin, not gross revenue. Adjust when contract terms are confirmed.</t>
        </r>
      </text>
    </comment>
    <comment ref="B88" authorId="1" shapeId="0" xr:uid="{00000000-0006-0000-0200-00000E000000}">
      <text>
        <r>
          <rPr>
            <sz val="11"/>
            <color theme="1"/>
            <rFont val="Calibri"/>
            <family val="2"/>
            <charset val="1"/>
          </rPr>
          <t>Share rate may be based on profit margin, not gross revenue. Adjust when contract terms are confirmed.</t>
        </r>
      </text>
    </comment>
    <comment ref="B94" authorId="1" shapeId="0" xr:uid="{00000000-0006-0000-0200-00000F000000}">
      <text>
        <r>
          <rPr>
            <sz val="11"/>
            <color theme="1"/>
            <rFont val="Calibri"/>
            <family val="2"/>
            <charset val="1"/>
          </rPr>
          <t>Share rate may be based on profit margin, not gross revenue. Adjust when contract terms are confirmed.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  <author>Model Note</author>
  </authors>
  <commentList>
    <comment ref="B4" authorId="0" shapeId="0" xr:uid="{00000000-0006-0000-0400-000001000000}">
      <text>
        <r>
          <rPr>
            <sz val="11"/>
            <color theme="1"/>
            <rFont val="Calibri"/>
            <family val="2"/>
            <charset val="1"/>
          </rPr>
          <t>Contractual rate, NOT inflation. BP: 'CHF 27,550 + VAT in 2027, then +3%/yr'.</t>
        </r>
      </text>
    </comment>
    <comment ref="B5" authorId="0" shapeId="0" xr:uid="{00000000-0006-0000-0400-000002000000}">
      <text>
        <r>
          <rPr>
            <sz val="11"/>
            <color theme="1"/>
            <rFont val="Calibri"/>
            <family val="2"/>
            <charset val="1"/>
          </rPr>
          <t>As Aura grows its brand and production value, Category C costs grow accordingly.</t>
        </r>
      </text>
    </comment>
    <comment ref="B6" authorId="0" shapeId="0" xr:uid="{00000000-0006-0000-0400-000003000000}">
      <text>
        <r>
          <rPr>
            <sz val="11"/>
            <color theme="1"/>
            <rFont val="Calibri"/>
            <family val="2"/>
            <charset val="1"/>
          </rPr>
          <t>Buffer for unexpected expenses. Calculated as % of total direct costs (A+B+C).</t>
        </r>
      </text>
    </comment>
    <comment ref="B16" authorId="0" shapeId="0" xr:uid="{00000000-0006-0000-0400-000004000000}">
      <text>
        <r>
          <rPr>
            <sz val="11"/>
            <color theme="1"/>
            <rFont val="Calibri"/>
            <family val="2"/>
            <charset val="1"/>
          </rPr>
          <t>BP assumption table says '27,550 + VAT' but detailed calculation shows 27,951 incl. VAT. Only Gütsch (4,950) is quoted excl. VAT; other venues are F&amp;B minimums incl. VAT.</t>
        </r>
      </text>
    </comment>
    <comment ref="A17" authorId="1" shapeId="0" xr:uid="{00000000-0006-0000-0400-000005000000}">
      <text>
        <r>
          <rPr>
            <sz val="11"/>
            <color theme="1"/>
            <rFont val="Calibri"/>
            <family val="2"/>
            <charset val="1"/>
          </rPr>
          <t>BP shows 'Bar/F&amp;B (net) = 9,000 CHF' as revenue, but per Rox confirmation, Aura receives no share of bar/food sales. This 9,000 is a deposit-style credit: guests are expected to spend more than 9,000 at the venue, so the excess offsets venue costs. It is correctly recorded here as a cost reduction, not as revenue.</t>
        </r>
      </text>
    </comment>
    <comment ref="B17" authorId="0" shapeId="0" xr:uid="{00000000-0006-0000-0400-000006000000}">
      <text>
        <r>
          <rPr>
            <sz val="11"/>
            <color theme="1"/>
            <rFont val="Calibri"/>
            <family val="2"/>
            <charset val="1"/>
          </rPr>
          <t>Estimated guest F&amp;B spend credited toward venue minimums. If guests spend less, Aura covers the gap. Grows with Venue Contract Escalation (3%/yr) as menu prices rise with venue costs.</t>
        </r>
      </text>
    </comment>
    <comment ref="B20" authorId="0" shapeId="0" xr:uid="{00000000-0006-0000-0400-000007000000}">
      <text>
        <r>
          <rPr>
            <sz val="11"/>
            <color theme="1"/>
            <rFont val="Calibri"/>
            <family val="2"/>
            <charset val="1"/>
          </rPr>
          <t>Includes ski/workout session and GRÜEZI coffee operation costs. Sunday Coffee revenue (100% Aura) is on the Revenue sheet.</t>
        </r>
      </text>
    </comment>
    <comment ref="B26" authorId="0" shapeId="0" xr:uid="{00000000-0006-0000-0400-000008000000}">
      <text>
        <r>
          <rPr>
            <sz val="11"/>
            <color theme="1"/>
            <rFont val="Calibri"/>
            <family val="2"/>
            <charset val="1"/>
          </rPr>
          <t>BP: 'Each ticket comes with two figurines.' Based on Ticket Count (250), not Guest Count (280). 250 × 2 drinks × CHF 9 = 4,500.</t>
        </r>
      </text>
    </comment>
    <comment ref="B55" authorId="0" shapeId="0" xr:uid="{00000000-0006-0000-0400-000009000000}">
      <text>
        <r>
          <rPr>
            <sz val="11"/>
            <color theme="1"/>
            <rFont val="Calibri"/>
            <family val="2"/>
            <charset val="1"/>
          </rPr>
          <t>Alternative approach: Link to % of profit (e.g., 30% of EBIT split between founders). This ties compensation to performance and is easier to justify to investors.
2027-2031: Manual input (compensation grows as the business establishes).
2032-2036: Auto-calculated at +4%/year from 2031 value.</t>
        </r>
      </text>
    </comment>
  </commentList>
</comments>
</file>

<file path=xl/sharedStrings.xml><?xml version="1.0" encoding="utf-8"?>
<sst xmlns="http://schemas.openxmlformats.org/spreadsheetml/2006/main" count="263" uniqueCount="242">
  <si>
    <t>AURA ANDERMATT — 10-Year Financial Model</t>
  </si>
  <si>
    <t>HOW TO USE THIS MODEL</t>
  </si>
  <si>
    <t>This workbook contains a 10-year financial simulation (2027–2036) for Aura Andermatt.</t>
  </si>
  <si>
    <t>It consists of 4 working sheets: Dashboard, P&amp;L, Revenue, and Cost.</t>
  </si>
  <si>
    <t>YELLOW CELLS = EDITABLE INPUTS</t>
  </si>
  <si>
    <t>All sheets are protected. Only yellow-highlighted cells can be edited.</t>
  </si>
  <si>
    <t>Yellow cells contain the key assumptions you can adjust:</t>
  </si>
  <si>
    <t xml:space="preserve">  • Revenue sheet: ticket prices, guest counts, F&amp;B spend, partnership values, growth rates</t>
  </si>
  <si>
    <t xml:space="preserve">  • Cost sheet: individual cost items (venue, talent, security, etc.), overhead, founder pay</t>
  </si>
  <si>
    <t xml:space="preserve">  • Dashboard: scenario adjustment factors (occupancy, price, partnership, ASA, costs, summer start)</t>
  </si>
  <si>
    <t>All other cells contain formulas that update automatically when you change inputs.</t>
  </si>
  <si>
    <t>UNLOCKING PROTECTED CELLS</t>
  </si>
  <si>
    <t>If you need to edit a locked (non-yellow) cell or modify the structure:</t>
  </si>
  <si>
    <t xml:space="preserve">  1. Go to Review → Unprotect Sheet</t>
  </si>
  <si>
    <t xml:space="preserve">  2. Enter password: 2027</t>
  </si>
  <si>
    <t xml:space="preserve">  3. Make your changes</t>
  </si>
  <si>
    <t xml:space="preserve">  4. Re-protect via Review → Protect Sheet (password: 2027) when done</t>
  </si>
  <si>
    <t>SHEET GUIDE</t>
  </si>
  <si>
    <t>Dashboard</t>
  </si>
  <si>
    <t xml:space="preserve">  The summary view. Shows Base, Downside, and Upside scenarios side by side.</t>
  </si>
  <si>
    <t xml:space="preserve">  Key Metrics (row 3–5): 10-year cumulative cash and 2027 PAT at a glance.</t>
  </si>
  <si>
    <t xml:space="preserve">  Scenario tables (rows 10–44): Revenue, costs, EBIT, tax, PAT, cumulative cash per year.</t>
  </si>
  <si>
    <t xml:space="preserve">  Scenario Adjustments (rows 55+): Change these yellow cells to adjust scenario assumptions.</t>
  </si>
  <si>
    <t xml:space="preserve">  Two charts visualize PAT and cumulative cash across all three scenarios.</t>
  </si>
  <si>
    <t>P&amp;L (Profit &amp; Loss)</t>
  </si>
  <si>
    <t xml:space="preserve">  Consolidates Revenue and Cost sheets into a single annual P&amp;L statement.</t>
  </si>
  <si>
    <t xml:space="preserve">  All values are formula-driven from Revenue and Cost sheets — no manual input here.</t>
  </si>
  <si>
    <t xml:space="preserve">  This represents the BASE case (no scenario adjustments applied).</t>
  </si>
  <si>
    <t>Revenue</t>
  </si>
  <si>
    <t xml:space="preserve">  Detailed revenue buildup: tickets (3 drops), partnerships, ASA, Bar/F&amp;B, dinner, other.</t>
  </si>
  <si>
    <t xml:space="preserve">  Model Assumptions (rows 3–13): growth rates, summer multiplier, net factor.</t>
  </si>
  <si>
    <t xml:space="preserve">  Summer edition revenue = Winter revenue × Summer Multiplier (default 0.55).</t>
  </si>
  <si>
    <t>Cost</t>
  </si>
  <si>
    <t xml:space="preserve">  Three cost categories: A (fixed/contract), B (guest-linked), C (ambition-linked).</t>
  </si>
  <si>
    <t xml:space="preserve">  Contingency % (row 6) is applied to direct costs. Summer costs = Winter × 0.5.</t>
  </si>
  <si>
    <t xml:space="preserve">  Overhead and Founder Pay are separate from direct costs, entered manually per year.</t>
  </si>
  <si>
    <t>SCENARIO ADJUSTMENT FACTORS (Dashboard rows 55+)</t>
  </si>
  <si>
    <t xml:space="preserve">  Factor                  Downside    Base    Upside</t>
  </si>
  <si>
    <t xml:space="preserve">  Ticket Occupancy          0.85      1.00      1.00</t>
  </si>
  <si>
    <t xml:space="preserve">  Ticket Price Factor       0.90      1.00      1.10</t>
  </si>
  <si>
    <t xml:space="preserve">  Partnership Factor        0.60      1.00      1.40</t>
  </si>
  <si>
    <t xml:space="preserve">  ASA Factor                0.75      1.00      1.25</t>
  </si>
  <si>
    <t xml:space="preserve">  Direct Cost Factor        0.90      1.00      1.00</t>
  </si>
  <si>
    <t xml:space="preserve">  Founder Pay Factor        0.50      1.00      1.00</t>
  </si>
  <si>
    <t xml:space="preserve">  Downside Overhead      8,000 CHF    (uses Cost sheet values)</t>
  </si>
  <si>
    <t xml:space="preserve">  Summer Start Year        2029      2027      2027</t>
  </si>
  <si>
    <t>Base = P&amp;L values as-is. Downside/Upside apply multipliers to the Base values.</t>
  </si>
  <si>
    <t>To test custom scenarios, change the yellow factor cells on the Dashboard.</t>
  </si>
  <si>
    <t>NOTES</t>
  </si>
  <si>
    <t>• F&amp;B revenue share is currently set to 0% across all blocks (Aura receives no F&amp;B revenue).</t>
  </si>
  <si>
    <t xml:space="preserve">  If a share agreement is reached, update the Share Rate cells in the Revenue sheet.</t>
  </si>
  <si>
    <t>• The F&amp;B Credit (-9,000 CHF) on the Cost sheet is a deposit against guest F&amp;B spending.</t>
  </si>
  <si>
    <t xml:space="preserve">  See the cell comment on Cost!A17 for details.</t>
  </si>
  <si>
    <t>• Dinner Revenue is set to 0 (outsourced, no Aura share). Editable if terms change.</t>
  </si>
  <si>
    <t>• All currency values are in CHF.</t>
  </si>
  <si>
    <t>AURA ANDERMATT — DASHBOARD</t>
  </si>
  <si>
    <t>KEY METRICS</t>
  </si>
  <si>
    <t>Downside</t>
  </si>
  <si>
    <t>Base</t>
  </si>
  <si>
    <t>Upside</t>
  </si>
  <si>
    <t>10-Year Cumulative Cash (CHF)</t>
  </si>
  <si>
    <t>2027 Profit After Tax (CHF)</t>
  </si>
  <si>
    <t>SCENARIO COMPARISON (10-YEAR P&amp;L)</t>
  </si>
  <si>
    <t>BASE SCENARIO</t>
  </si>
  <si>
    <t xml:space="preserve">    Net Ticket Revenue</t>
  </si>
  <si>
    <t xml:space="preserve">    Partnership Revenue</t>
  </si>
  <si>
    <t xml:space="preserve">    Other Revenue (ASA+F&amp;B+Dinner+Other)</t>
  </si>
  <si>
    <t>Total Revenue</t>
  </si>
  <si>
    <t xml:space="preserve">  Total Costs</t>
  </si>
  <si>
    <t>EBIT</t>
  </si>
  <si>
    <t>Tax</t>
  </si>
  <si>
    <t>Profit After Tax</t>
  </si>
  <si>
    <t>Cumulative Cash</t>
  </si>
  <si>
    <t>DOWNSIDE SCENARIO</t>
  </si>
  <si>
    <t xml:space="preserve">    Net Ticket Revenue (adj.)</t>
  </si>
  <si>
    <t xml:space="preserve">    Partnership Revenue (adj.)</t>
  </si>
  <si>
    <t xml:space="preserve">    Other Revenue (ASA+F&amp;B+Dinner+Other) (adj.)</t>
  </si>
  <si>
    <t xml:space="preserve">  Total Costs (adj.)</t>
  </si>
  <si>
    <t>UPSIDE SCENARIO</t>
  </si>
  <si>
    <t>SCENARIO ADJUSTMENTS (change values below to adjust scenarios)</t>
  </si>
  <si>
    <t>■ REVENUE FACTORS</t>
  </si>
  <si>
    <t xml:space="preserve">  These multiply each year's revenue line directly.</t>
  </si>
  <si>
    <t>Ticket Occupancy</t>
  </si>
  <si>
    <t>Ticket Price Factor</t>
  </si>
  <si>
    <t>Partnership Factor</t>
  </si>
  <si>
    <t>ASA Factor</t>
  </si>
  <si>
    <t>■ COST FACTORS</t>
  </si>
  <si>
    <t>Direct Cost Factor</t>
  </si>
  <si>
    <t>Founder Pay Factor</t>
  </si>
  <si>
    <t>Downside Overhead (CHF)</t>
  </si>
  <si>
    <t>■ STRUCTURAL FACTORS</t>
  </si>
  <si>
    <t>Summer Start Year</t>
  </si>
  <si>
    <t>SCENARIO DEFINITIONS:</t>
  </si>
  <si>
    <t xml:space="preserve">  Downside: Tickets -15%, prices -10%, partnerships -40%, ASA -25%, direct costs ×0.9, overhead fixed 8K, founder pay halved (BP), summer from 2029.</t>
  </si>
  <si>
    <t xml:space="preserve">  Base: All factors at 1.0 — as entered in Revenue/Cost sheets. Summer from 2027.</t>
  </si>
  <si>
    <t xml:space="preserve">  Upside: Prices +10%, partnerships +40%, ASA +25%. Summer from 2027.</t>
  </si>
  <si>
    <t>REVENUE</t>
  </si>
  <si>
    <t>MODEL ASSUMPTIONS</t>
  </si>
  <si>
    <t>Total Guest Count</t>
  </si>
  <si>
    <t>Total Ticket Count</t>
  </si>
  <si>
    <t>Net Factor (VAT + platform fees)</t>
  </si>
  <si>
    <t>Ticket Price Growth Rate (to 2030)</t>
  </si>
  <si>
    <t>Ticket Price Growth Rate (2031+)</t>
  </si>
  <si>
    <t>F&amp;B Growth Rate</t>
  </si>
  <si>
    <t>Partnership Growth Rate (2032+)</t>
  </si>
  <si>
    <t>Summer Revenue Multiplier</t>
  </si>
  <si>
    <t>Summer Cost Multiplier</t>
  </si>
  <si>
    <t>SECTION 1: TICKET REVENUE</t>
  </si>
  <si>
    <t>Drop Allocation</t>
  </si>
  <si>
    <t xml:space="preserve">  Drop 1 Allocation %</t>
  </si>
  <si>
    <t xml:space="preserve">  Drop 2 Allocation %</t>
  </si>
  <si>
    <t xml:space="preserve">  Drop 3 Allocation %</t>
  </si>
  <si>
    <t>2027 Base Prices (CHF)</t>
  </si>
  <si>
    <t xml:space="preserve">  Drop 1 Unit Price</t>
  </si>
  <si>
    <t xml:space="preserve">  Drop 2 Unit Price</t>
  </si>
  <si>
    <t xml:space="preserve">  Drop 3 Unit Price</t>
  </si>
  <si>
    <t>10-YEAR TICKET PROJECTION</t>
  </si>
  <si>
    <t xml:space="preserve">  Drop 1 Quantity</t>
  </si>
  <si>
    <t xml:space="preserve">  Drop 2 Quantity</t>
  </si>
  <si>
    <t xml:space="preserve">  Drop 3 Quantity</t>
  </si>
  <si>
    <t xml:space="preserve">  Drop 1 Price (CHF)</t>
  </si>
  <si>
    <t xml:space="preserve">  Drop 2 Price (CHF)</t>
  </si>
  <si>
    <t xml:space="preserve">  Drop 3 Price (CHF)</t>
  </si>
  <si>
    <t xml:space="preserve">  Drop 1 Revenue</t>
  </si>
  <si>
    <t xml:space="preserve">  Drop 2 Revenue</t>
  </si>
  <si>
    <t xml:space="preserve">  Drop 3 Revenue</t>
  </si>
  <si>
    <t>Gross Ticket Revenue</t>
  </si>
  <si>
    <t>Net Ticket Revenue</t>
  </si>
  <si>
    <t>SECTION 2: PARTNERSHIPS</t>
  </si>
  <si>
    <t xml:space="preserve">  Presenting Partner — Price</t>
  </si>
  <si>
    <t xml:space="preserve">  Presenting Partner — Count</t>
  </si>
  <si>
    <t xml:space="preserve">  Presenting Partner — Revenue</t>
  </si>
  <si>
    <t xml:space="preserve">  Partner — Price</t>
  </si>
  <si>
    <t xml:space="preserve">  Partner — Count</t>
  </si>
  <si>
    <t xml:space="preserve">  Partner — Revenue</t>
  </si>
  <si>
    <t xml:space="preserve">  Supporting Partner — Price</t>
  </si>
  <si>
    <t xml:space="preserve">  Supporting Partner — Count</t>
  </si>
  <si>
    <t xml:space="preserve">  Supporting Partner — Revenue</t>
  </si>
  <si>
    <t>Partnership Total</t>
  </si>
  <si>
    <t xml:space="preserve">  2027-2031: Tier breakdown (editable). 2032-2036: Auto-calculated from 2031 total at Partnership Growth Rate.</t>
  </si>
  <si>
    <t>SECTION 3: ASA CONTRIBUTION</t>
  </si>
  <si>
    <t>ASA Contribution (manual input)</t>
  </si>
  <si>
    <t xml:space="preserve">  ASA partnership contribution follows a 3-phase negotiation schedule (Build / Grow / Anchor). Values are irregular and entered manually per year.</t>
  </si>
  <si>
    <t>SECTION 4: BAR / F&amp;B REVENUE</t>
  </si>
  <si>
    <t xml:space="preserve">  Share rates are currently set to 0%. Aura does not take a share of bar/food revenue. If a share agreement is negotiated, change the share rate.</t>
  </si>
  <si>
    <t xml:space="preserve">  Friday Night: Coffee + Drinks — Guest Count</t>
  </si>
  <si>
    <t xml:space="preserve">  Friday Night: Coffee + Drinks — Per-person Spend</t>
  </si>
  <si>
    <t xml:space="preserve">  Friday Night: Coffee + Drinks — Share Rate</t>
  </si>
  <si>
    <t xml:space="preserve">  Friday Night: Coffee + Drinks — Est. Total Sales (reference)</t>
  </si>
  <si>
    <t xml:space="preserve">  Friday Night: Coffee + Drinks — Aura Revenue</t>
  </si>
  <si>
    <t xml:space="preserve">  Saturday Day: Drinks — Guest Count</t>
  </si>
  <si>
    <t xml:space="preserve">  Saturday Day: Drinks — Per-person Spend</t>
  </si>
  <si>
    <t xml:space="preserve">  Saturday Day: Drinks — Share Rate</t>
  </si>
  <si>
    <t xml:space="preserve">  Saturday Day: Drinks — Est. Total Sales (reference)</t>
  </si>
  <si>
    <t xml:space="preserve">  Saturday Day: Drinks — Aura Revenue</t>
  </si>
  <si>
    <t xml:space="preserve">  Saturday Day: Food — Guest Count</t>
  </si>
  <si>
    <t xml:space="preserve">  Saturday Day: Food — Per-person Spend</t>
  </si>
  <si>
    <t xml:space="preserve">  Saturday Day: Food — Share Rate</t>
  </si>
  <si>
    <t xml:space="preserve">  Saturday Day: Food — Est. Total Sales (reference)</t>
  </si>
  <si>
    <t xml:space="preserve">  Saturday Day: Food — Aura Revenue</t>
  </si>
  <si>
    <t xml:space="preserve">  Saturday Night: Drinks — Guest Count</t>
  </si>
  <si>
    <t xml:space="preserve">  Saturday Night: Drinks — Per-person Spend</t>
  </si>
  <si>
    <t xml:space="preserve">  Saturday Night: Drinks — Share Rate</t>
  </si>
  <si>
    <t xml:space="preserve">  Saturday Night: Drinks — Est. Total Sales (reference)</t>
  </si>
  <si>
    <t xml:space="preserve">  Saturday Night: Drinks — Aura Revenue</t>
  </si>
  <si>
    <t xml:space="preserve">  Sunday Coffee — Guest Count</t>
  </si>
  <si>
    <t xml:space="preserve">  Sunday Coffee — Per-person Spend</t>
  </si>
  <si>
    <t xml:space="preserve">  Sunday Coffee — Share Rate</t>
  </si>
  <si>
    <t xml:space="preserve">  Sunday Coffee — Est. Total Sales (reference)</t>
  </si>
  <si>
    <t xml:space="preserve">  Sunday Coffee — Aura Revenue</t>
  </si>
  <si>
    <t>Bar/F&amp;B Total</t>
  </si>
  <si>
    <t>SECTION 5: DINNER REVENUE</t>
  </si>
  <si>
    <t>Dinner Revenue (manual input)</t>
  </si>
  <si>
    <t xml:space="preserve">  BP: 'Dinner is invite-only, sponsor-funded, never sold.' If a dinner-specific sponsor appears, it goes under Partnerships.</t>
  </si>
  <si>
    <t>SECTION 6: OTHER REVENUE</t>
  </si>
  <si>
    <t>Other Revenue</t>
  </si>
  <si>
    <t xml:space="preserve">  Other Revenue grows with General Inflation Rate (P&amp;L sheet). Contents: add-ons, upselling, merchandise.</t>
  </si>
  <si>
    <t>REVENUE TOTALS</t>
  </si>
  <si>
    <t>TOTAL WINTER REVENUE</t>
  </si>
  <si>
    <t>Summer Revenue</t>
  </si>
  <si>
    <t>TOTAL ANNUAL REVENUE</t>
  </si>
  <si>
    <t>PROFIT &amp; LOSS</t>
  </si>
  <si>
    <t>EXTERNAL PARAMETERS (normally do not change)</t>
  </si>
  <si>
    <t>General Inflation Rate</t>
  </si>
  <si>
    <t>Tax Rate (Uri canton combined)</t>
  </si>
  <si>
    <t>Initial Capital (GmbH paid-in)</t>
  </si>
  <si>
    <t>10-YEAR PROFIT &amp; LOSS</t>
  </si>
  <si>
    <t xml:space="preserve">  Net Ticket Revenue</t>
  </si>
  <si>
    <t xml:space="preserve">  Partnership Revenue</t>
  </si>
  <si>
    <t xml:space="preserve">  ASA Contribution</t>
  </si>
  <si>
    <t xml:space="preserve">  Bar/F&amp;B Revenue</t>
  </si>
  <si>
    <t xml:space="preserve">  Dinner Revenue</t>
  </si>
  <si>
    <t xml:space="preserve">  Other Revenue</t>
  </si>
  <si>
    <t>TOTAL REVENUE</t>
  </si>
  <si>
    <t>Costs</t>
  </si>
  <si>
    <t xml:space="preserve">  Total Direct Costs</t>
  </si>
  <si>
    <t xml:space="preserve">  Overhead</t>
  </si>
  <si>
    <t xml:space="preserve">  Founder Pay</t>
  </si>
  <si>
    <t>TOTAL COSTS</t>
  </si>
  <si>
    <t>RESULTS</t>
  </si>
  <si>
    <t>PROFIT AFTER TAX</t>
  </si>
  <si>
    <t>CUMULATIVE CASH</t>
  </si>
  <si>
    <t>COST</t>
  </si>
  <si>
    <t>Venue Contract Escalation Rate</t>
  </si>
  <si>
    <t>Ambition Growth Rate (Category C)</t>
  </si>
  <si>
    <t>Contingency %</t>
  </si>
  <si>
    <t>COST CATEGORY DEFINITIONS:</t>
  </si>
  <si>
    <t xml:space="preserve">  Category A (Fixed/Contract): Costs driven by contracts or predictable obligations. Grow at contractual rate or general inflation.</t>
  </si>
  <si>
    <t xml:space="preserve">  Category B (Guest-linked): Costs that scale with the number of ticket holders. More tickets sold = higher cost.</t>
  </si>
  <si>
    <t xml:space="preserve">  Category C (Ambition-linked): Costs tied to the quality and ambition of the event. Default growth: Ambition Growth Rate above.</t>
  </si>
  <si>
    <t xml:space="preserve">  Contingency: A buffer calculated as % of total costs (A+B+C) for unexpected expenses.</t>
  </si>
  <si>
    <t>CATEGORY A: FIXED / CONTRACT</t>
  </si>
  <si>
    <t xml:space="preserve">  Venue (Swiss House)</t>
  </si>
  <si>
    <t xml:space="preserve">  F&amp;B Credit (guest spend vs minimums)</t>
  </si>
  <si>
    <t xml:space="preserve">  Insurance / Permits / Ticketing</t>
  </si>
  <si>
    <t xml:space="preserve">  Transport</t>
  </si>
  <si>
    <t xml:space="preserve">  Sunday Program (incl. GRÜEZI coffee costs)</t>
  </si>
  <si>
    <t>Category A Subtotal</t>
  </si>
  <si>
    <t>CATEGORY B: GUEST-LINKED</t>
  </si>
  <si>
    <t xml:space="preserve">  Welcome Drinks (Ticket Count × 2 × CHF 9)</t>
  </si>
  <si>
    <t xml:space="preserve">  Security</t>
  </si>
  <si>
    <t>Category B Subtotal</t>
  </si>
  <si>
    <t>CATEGORY C: AMBITION-LINKED</t>
  </si>
  <si>
    <t xml:space="preserve">  Talent (DJs / Artists)</t>
  </si>
  <si>
    <t xml:space="preserve">  Production (Sound / Lighting)</t>
  </si>
  <si>
    <t xml:space="preserve">  Decor / Branding</t>
  </si>
  <si>
    <t xml:space="preserve">  Photo / Video</t>
  </si>
  <si>
    <t xml:space="preserve">  Marketing / Print</t>
  </si>
  <si>
    <t xml:space="preserve">  Operating Partner</t>
  </si>
  <si>
    <t xml:space="preserve">  Chedi Winter Garden (Friday)</t>
  </si>
  <si>
    <t>Category C Subtotal</t>
  </si>
  <si>
    <t>DIRECT COST TOTALS</t>
  </si>
  <si>
    <t>Direct Cost Subtotal (A+B+C)</t>
  </si>
  <si>
    <t>Contingency</t>
  </si>
  <si>
    <t>TOTAL WINTER DIRECT COST</t>
  </si>
  <si>
    <t>Summer Cost</t>
  </si>
  <si>
    <t>TOTAL ANNUAL DIRECT COST</t>
  </si>
  <si>
    <t>OVERHEAD &amp; FOUNDER PAY</t>
  </si>
  <si>
    <t>Overhead (manual input)</t>
  </si>
  <si>
    <t xml:space="preserve">  Overhead jumps when new hires are added (part-time producer in 2030, additional staff in 2033). Cannot be modeled with a growth rate.</t>
  </si>
  <si>
    <t>Founder Pay (2027-2031: manual / 2032+: auto +4%/yr)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</si>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</sst>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%"/>
  </numFmts>
  <fonts count="1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i/>
      <sz val="9"/>
      <color rgb="FF666666"/>
      <name val="Arial"/>
      <family val="2"/>
    </font>
    <font>
      <b/>
      <sz val="11"/>
      <color rgb="FF1F4E79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666666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9"/>
      <color rgb="FF666666"/>
      <name val="Calibri"/>
      <family val="2"/>
    </font>
    <font>
      <b/>
      <sz val="14"/>
      <color rgb="FF1F4E79"/>
      <name val="Calibri"/>
      <family val="2"/>
    </font>
    <font>
      <b/>
      <sz val="12"/>
      <color rgb="FF1F4E79"/>
      <name val="Calibri"/>
      <family val="2"/>
    </font>
    <font>
      <sz val="11"/>
      <name val="Courier New"/>
      <family val="3"/>
    </font>
    <font>
      <sz val="6"/>
      <name val="ＭＳ Ｐゴシック"/>
      <family val="3"/>
      <charset val="128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1" fontId="1" fillId="0" borderId="0"/>
    <xf numFmtId="9" fontId="1" fillId="0" borderId="0"/>
  </cellStyleXfs>
  <cellXfs count="43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 applyAlignment="1">
      <alignment horizontal="center"/>
    </xf>
    <xf numFmtId="0" fontId="5" fillId="0" borderId="0" xfId="0" applyFont="1"/>
    <xf numFmtId="3" fontId="3" fillId="0" borderId="0" xfId="0" applyNumberFormat="1" applyFont="1"/>
    <xf numFmtId="0" fontId="3" fillId="0" borderId="0" xfId="0" applyFont="1"/>
    <xf numFmtId="0" fontId="0" fillId="3" borderId="0" xfId="0" applyFill="1"/>
    <xf numFmtId="1" fontId="4" fillId="3" borderId="0" xfId="0" applyNumberFormat="1" applyFont="1" applyFill="1" applyAlignment="1">
      <alignment horizontal="center"/>
    </xf>
    <xf numFmtId="3" fontId="5" fillId="0" borderId="0" xfId="0" applyNumberFormat="1" applyFont="1"/>
    <xf numFmtId="3" fontId="5" fillId="0" borderId="1" xfId="0" applyNumberFormat="1" applyFont="1" applyBorder="1"/>
    <xf numFmtId="3" fontId="3" fillId="0" borderId="1" xfId="0" applyNumberFormat="1" applyFont="1" applyBorder="1"/>
    <xf numFmtId="0" fontId="6" fillId="0" borderId="0" xfId="0" applyFont="1"/>
    <xf numFmtId="0" fontId="0" fillId="2" borderId="0" xfId="0" applyFill="1"/>
    <xf numFmtId="0" fontId="14" fillId="0" borderId="0" xfId="0" applyFont="1"/>
    <xf numFmtId="0" fontId="15" fillId="0" borderId="0" xfId="0" applyFont="1"/>
    <xf numFmtId="0" fontId="12" fillId="0" borderId="0" xfId="0" applyFont="1"/>
    <xf numFmtId="0" fontId="9" fillId="0" borderId="0" xfId="0" applyFont="1"/>
    <xf numFmtId="0" fontId="16" fillId="0" borderId="0" xfId="0" applyFont="1"/>
    <xf numFmtId="0" fontId="7" fillId="5" borderId="0" xfId="0" applyFont="1" applyFill="1"/>
    <xf numFmtId="0" fontId="8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10" fillId="0" borderId="0" xfId="0" applyFont="1"/>
    <xf numFmtId="176" fontId="8" fillId="4" borderId="0" xfId="0" applyNumberFormat="1" applyFont="1" applyFill="1" applyProtection="1">
      <protection locked="0"/>
    </xf>
    <xf numFmtId="2" fontId="8" fillId="4" borderId="0" xfId="0" applyNumberFormat="1" applyFont="1" applyFill="1" applyProtection="1">
      <protection locked="0"/>
    </xf>
    <xf numFmtId="0" fontId="8" fillId="4" borderId="0" xfId="0" applyFont="1" applyFill="1" applyProtection="1">
      <protection locked="0"/>
    </xf>
    <xf numFmtId="0" fontId="13" fillId="0" borderId="0" xfId="0" applyFont="1"/>
    <xf numFmtId="3" fontId="5" fillId="4" borderId="0" xfId="0" applyNumberFormat="1" applyFont="1" applyFill="1" applyProtection="1">
      <protection locked="0"/>
    </xf>
    <xf numFmtId="2" fontId="5" fillId="4" borderId="0" xfId="0" applyNumberFormat="1" applyFont="1" applyFill="1" applyProtection="1">
      <protection locked="0"/>
    </xf>
    <xf numFmtId="176" fontId="5" fillId="4" borderId="0" xfId="0" applyNumberFormat="1" applyFont="1" applyFill="1" applyProtection="1">
      <protection locked="0"/>
    </xf>
    <xf numFmtId="1" fontId="5" fillId="4" borderId="0" xfId="0" applyNumberFormat="1" applyFont="1" applyFill="1" applyProtection="1">
      <protection locked="0"/>
    </xf>
    <xf numFmtId="0" fontId="9" fillId="6" borderId="0" xfId="0" applyFont="1" applyFill="1"/>
    <xf numFmtId="1" fontId="11" fillId="0" borderId="0" xfId="0" applyNumberFormat="1" applyFont="1" applyAlignment="1">
      <alignment horizontal="center"/>
    </xf>
    <xf numFmtId="3" fontId="8" fillId="4" borderId="0" xfId="0" applyNumberFormat="1" applyFont="1" applyFill="1" applyProtection="1">
      <protection locked="0"/>
    </xf>
    <xf numFmtId="3" fontId="8" fillId="0" borderId="0" xfId="0" applyNumberFormat="1" applyFont="1"/>
    <xf numFmtId="3" fontId="8" fillId="0" borderId="1" xfId="0" applyNumberFormat="1" applyFont="1" applyBorder="1"/>
    <xf numFmtId="1" fontId="8" fillId="0" borderId="0" xfId="0" applyNumberFormat="1" applyFont="1" applyAlignment="1">
      <alignment horizontal="center"/>
    </xf>
    <xf numFmtId="0" fontId="0" fillId="4" borderId="0" xfId="0" applyFill="1" applyProtection="1">
      <protection locked="0"/>
    </xf>
    <xf numFmtId="9" fontId="1" fillId="7" borderId="0" xfId="2" applyFill="1"/>
    <xf numFmtId="1" fontId="8" fillId="4" borderId="0" xfId="0" applyNumberFormat="1" applyFont="1" applyFill="1" applyAlignment="1" applyProtection="1">
      <alignment horizontal="right"/>
      <protection locked="0"/>
    </xf>
    <xf numFmtId="0" fontId="18" fillId="0" borderId="0" xfId="1" applyNumberFormat="1" applyFont="1"/>
    <xf numFmtId="1" fontId="8" fillId="0" borderId="0" xfId="0" applyNumberFormat="1" applyFont="1" applyAlignment="1">
      <alignment horizontal="right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9F9F9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666666"/>
      <rgbColor rgb="FF9BBB59"/>
      <rgbColor rgb="FF003366"/>
      <rgbColor rgb="FF4F81BD"/>
      <rgbColor rgb="FF003300"/>
      <rgbColor rgb="FF333300"/>
      <rgbColor rgb="FF993300"/>
      <rgbColor rgb="FFC0504D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 After Tax (CHF)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Base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Dashboard!$B$11:$K$11</c:f>
              <c:numCache>
                <c:formatCode>0</c:formatCode>
                <c:ptCount val="10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</c:numCache>
            </c:numRef>
          </c:cat>
          <c:val>
            <c:numRef>
              <c:f>Dashboard!$B$19:$K$19</c:f>
              <c:numCache>
                <c:formatCode>#,##0</c:formatCode>
                <c:ptCount val="10"/>
                <c:pt idx="0">
                  <c:v>-1314.1350000000093</c:v>
                </c:pt>
                <c:pt idx="1">
                  <c:v>28276.229173920023</c:v>
                </c:pt>
                <c:pt idx="2">
                  <c:v>51134.254345137626</c:v>
                </c:pt>
                <c:pt idx="3">
                  <c:v>41786.739524803765</c:v>
                </c:pt>
                <c:pt idx="4">
                  <c:v>49206.837398569674</c:v>
                </c:pt>
                <c:pt idx="5">
                  <c:v>60102.052009309264</c:v>
                </c:pt>
                <c:pt idx="6">
                  <c:v>50498.35230287259</c:v>
                </c:pt>
                <c:pt idx="7">
                  <c:v>61032.780358441065</c:v>
                </c:pt>
                <c:pt idx="8">
                  <c:v>70972.834664664028</c:v>
                </c:pt>
                <c:pt idx="9">
                  <c:v>81208.520340136005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7BF-48DF-BE40-32374869C971}"/>
            </c:ext>
          </c:extLst>
        </c:ser>
        <c:ser>
          <c:idx val="1"/>
          <c:order val="1"/>
          <c:tx>
            <c:v>Downside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Dashboard!$B$11:$K$11</c:f>
              <c:numCache>
                <c:formatCode>0</c:formatCode>
                <c:ptCount val="10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</c:numCache>
            </c:numRef>
          </c:cat>
          <c:val>
            <c:numRef>
              <c:f>Dashboard!$B$31:$K$31</c:f>
              <c:numCache>
                <c:formatCode>#,##0</c:formatCode>
                <c:ptCount val="10"/>
                <c:pt idx="0">
                  <c:v>-64369.271500000032</c:v>
                </c:pt>
                <c:pt idx="1">
                  <c:v>-54370.203394999975</c:v>
                </c:pt>
                <c:pt idx="2">
                  <c:v>10805.065954431837</c:v>
                </c:pt>
                <c:pt idx="3">
                  <c:v>23674.072022541619</c:v>
                </c:pt>
                <c:pt idx="4">
                  <c:v>29728.263955368348</c:v>
                </c:pt>
                <c:pt idx="5">
                  <c:v>36291.680139402946</c:v>
                </c:pt>
                <c:pt idx="6">
                  <c:v>37858.636674018235</c:v>
                </c:pt>
                <c:pt idx="7">
                  <c:v>44588.977442878982</c:v>
                </c:pt>
                <c:pt idx="8">
                  <c:v>51409.366627784329</c:v>
                </c:pt>
                <c:pt idx="9">
                  <c:v>58324.500304295769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7BF-48DF-BE40-32374869C971}"/>
            </c:ext>
          </c:extLst>
        </c:ser>
        <c:ser>
          <c:idx val="2"/>
          <c:order val="2"/>
          <c:tx>
            <c:v>Upside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Dashboard!$B$11:$K$11</c:f>
              <c:numCache>
                <c:formatCode>0</c:formatCode>
                <c:ptCount val="10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</c:numCache>
            </c:numRef>
          </c:cat>
          <c:val>
            <c:numRef>
              <c:f>Dashboard!$B$43:$K$43</c:f>
              <c:numCache>
                <c:formatCode>#,##0</c:formatCode>
                <c:ptCount val="10"/>
                <c:pt idx="0">
                  <c:v>26018.201663999993</c:v>
                </c:pt>
                <c:pt idx="1">
                  <c:v>70432.124773920048</c:v>
                </c:pt>
                <c:pt idx="2">
                  <c:v>105619.86079313762</c:v>
                </c:pt>
                <c:pt idx="3">
                  <c:v>109500.4184886438</c:v>
                </c:pt>
                <c:pt idx="4">
                  <c:v>127117.12592096324</c:v>
                </c:pt>
                <c:pt idx="5">
                  <c:v>143674.42247259861</c:v>
                </c:pt>
                <c:pt idx="6">
                  <c:v>138270.47940869356</c:v>
                </c:pt>
                <c:pt idx="7">
                  <c:v>154941.03952193481</c:v>
                </c:pt>
                <c:pt idx="8">
                  <c:v>171275.29942654393</c:v>
                </c:pt>
                <c:pt idx="9">
                  <c:v>188178.40711824829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7BF-48DF-BE40-32374869C9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Cumulative Cash (CHF)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Base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Dashboard!$B$11:$K$11</c:f>
              <c:numCache>
                <c:formatCode>0</c:formatCode>
                <c:ptCount val="10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</c:numCache>
            </c:numRef>
          </c:cat>
          <c:val>
            <c:numRef>
              <c:f>Dashboard!$B$20:$K$20</c:f>
              <c:numCache>
                <c:formatCode>#,##0</c:formatCode>
                <c:ptCount val="10"/>
                <c:pt idx="0">
                  <c:v>18685.864999999991</c:v>
                </c:pt>
                <c:pt idx="1">
                  <c:v>46962.094173920013</c:v>
                </c:pt>
                <c:pt idx="2">
                  <c:v>98096.348519057647</c:v>
                </c:pt>
                <c:pt idx="3">
                  <c:v>139883.08804386141</c:v>
                </c:pt>
                <c:pt idx="4">
                  <c:v>189089.92544243109</c:v>
                </c:pt>
                <c:pt idx="5">
                  <c:v>249191.97745174036</c:v>
                </c:pt>
                <c:pt idx="6">
                  <c:v>299690.32975461293</c:v>
                </c:pt>
                <c:pt idx="7">
                  <c:v>360723.11011305399</c:v>
                </c:pt>
                <c:pt idx="8">
                  <c:v>431695.94477771805</c:v>
                </c:pt>
                <c:pt idx="9">
                  <c:v>512904.46511785407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E11-4C10-B0B3-BE4429E61027}"/>
            </c:ext>
          </c:extLst>
        </c:ser>
        <c:ser>
          <c:idx val="1"/>
          <c:order val="1"/>
          <c:tx>
            <c:v>Downside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Dashboard!$B$11:$K$11</c:f>
              <c:numCache>
                <c:formatCode>0</c:formatCode>
                <c:ptCount val="10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</c:numCache>
            </c:numRef>
          </c:cat>
          <c:val>
            <c:numRef>
              <c:f>Dashboard!$B$32:$K$32</c:f>
              <c:numCache>
                <c:formatCode>#,##0</c:formatCode>
                <c:ptCount val="10"/>
                <c:pt idx="0">
                  <c:v>-44369.271500000032</c:v>
                </c:pt>
                <c:pt idx="1">
                  <c:v>-98739.474895000007</c:v>
                </c:pt>
                <c:pt idx="2">
                  <c:v>-87934.408940568173</c:v>
                </c:pt>
                <c:pt idx="3">
                  <c:v>-64260.336918026558</c:v>
                </c:pt>
                <c:pt idx="4">
                  <c:v>-34532.072962658211</c:v>
                </c:pt>
                <c:pt idx="5">
                  <c:v>1759.6071767447356</c:v>
                </c:pt>
                <c:pt idx="6">
                  <c:v>39618.24385076297</c:v>
                </c:pt>
                <c:pt idx="7">
                  <c:v>84207.221293641953</c:v>
                </c:pt>
                <c:pt idx="8">
                  <c:v>135616.58792142628</c:v>
                </c:pt>
                <c:pt idx="9">
                  <c:v>193941.08822572205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E11-4C10-B0B3-BE4429E61027}"/>
            </c:ext>
          </c:extLst>
        </c:ser>
        <c:ser>
          <c:idx val="2"/>
          <c:order val="2"/>
          <c:tx>
            <c:v>Upside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Dashboard!$B$11:$K$11</c:f>
              <c:numCache>
                <c:formatCode>0</c:formatCode>
                <c:ptCount val="10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</c:numCache>
            </c:numRef>
          </c:cat>
          <c:val>
            <c:numRef>
              <c:f>Dashboard!$B$44:$K$44</c:f>
              <c:numCache>
                <c:formatCode>#,##0</c:formatCode>
                <c:ptCount val="10"/>
                <c:pt idx="0">
                  <c:v>46018.201663999993</c:v>
                </c:pt>
                <c:pt idx="1">
                  <c:v>116450.32643792004</c:v>
                </c:pt>
                <c:pt idx="2">
                  <c:v>222070.18723105767</c:v>
                </c:pt>
                <c:pt idx="3">
                  <c:v>331570.6057197015</c:v>
                </c:pt>
                <c:pt idx="4">
                  <c:v>458687.73164066474</c:v>
                </c:pt>
                <c:pt idx="5">
                  <c:v>602362.15411326336</c:v>
                </c:pt>
                <c:pt idx="6">
                  <c:v>740632.63352195686</c:v>
                </c:pt>
                <c:pt idx="7">
                  <c:v>895573.67304389167</c:v>
                </c:pt>
                <c:pt idx="8">
                  <c:v>1066848.9724704355</c:v>
                </c:pt>
                <c:pt idx="9">
                  <c:v>1255027.3795886838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E11-4C10-B0B3-BE4429E6102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274320</xdr:colOff>
      <xdr:row>5</xdr:row>
      <xdr:rowOff>15240</xdr:rowOff>
    </xdr:from>
    <xdr:ext cx="792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28</xdr:col>
      <xdr:colOff>30480</xdr:colOff>
      <xdr:row>5</xdr:row>
      <xdr:rowOff>45720</xdr:rowOff>
    </xdr:from>
    <xdr:ext cx="7920000" cy="46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1"/>
  <sheetViews>
    <sheetView workbookViewId="0">
      <selection activeCell="A66" sqref="A66"/>
    </sheetView>
  </sheetViews>
  <sheetFormatPr defaultRowHeight="14.4" x14ac:dyDescent="0.3"/>
  <cols>
    <col min="1" max="1" width="90" customWidth="1"/>
  </cols>
  <sheetData>
    <row r="1" spans="1:1" ht="18" x14ac:dyDescent="0.35">
      <c r="A1" s="14" t="s">
        <v>0</v>
      </c>
    </row>
    <row r="3" spans="1:1" ht="15.6" x14ac:dyDescent="0.3">
      <c r="A3" s="15" t="s">
        <v>1</v>
      </c>
    </row>
    <row r="5" spans="1:1" x14ac:dyDescent="0.3">
      <c r="A5" s="16" t="s">
        <v>2</v>
      </c>
    </row>
    <row r="6" spans="1:1" x14ac:dyDescent="0.3">
      <c r="A6" s="16" t="s">
        <v>3</v>
      </c>
    </row>
    <row r="8" spans="1:1" ht="15.6" x14ac:dyDescent="0.3">
      <c r="A8" s="15" t="s">
        <v>4</v>
      </c>
    </row>
    <row r="10" spans="1:1" x14ac:dyDescent="0.3">
      <c r="A10" s="16" t="s">
        <v>5</v>
      </c>
    </row>
    <row r="11" spans="1:1" x14ac:dyDescent="0.3">
      <c r="A11" s="16" t="s">
        <v>6</v>
      </c>
    </row>
    <row r="12" spans="1:1" x14ac:dyDescent="0.3">
      <c r="A12" s="16" t="s">
        <v>7</v>
      </c>
    </row>
    <row r="13" spans="1:1" x14ac:dyDescent="0.3">
      <c r="A13" s="16" t="s">
        <v>8</v>
      </c>
    </row>
    <row r="14" spans="1:1" x14ac:dyDescent="0.3">
      <c r="A14" s="16" t="s">
        <v>9</v>
      </c>
    </row>
    <row r="15" spans="1:1" x14ac:dyDescent="0.3">
      <c r="A15" s="16" t="s">
        <v>10</v>
      </c>
    </row>
    <row r="17" spans="1:1" ht="15.6" x14ac:dyDescent="0.3">
      <c r="A17" s="15" t="s">
        <v>11</v>
      </c>
    </row>
    <row r="19" spans="1:1" x14ac:dyDescent="0.3">
      <c r="A19" s="16" t="s">
        <v>12</v>
      </c>
    </row>
    <row r="20" spans="1:1" x14ac:dyDescent="0.3">
      <c r="A20" s="16" t="s">
        <v>13</v>
      </c>
    </row>
    <row r="21" spans="1:1" x14ac:dyDescent="0.3">
      <c r="A21" s="16" t="s">
        <v>14</v>
      </c>
    </row>
    <row r="22" spans="1:1" x14ac:dyDescent="0.3">
      <c r="A22" s="16" t="s">
        <v>15</v>
      </c>
    </row>
    <row r="23" spans="1:1" x14ac:dyDescent="0.3">
      <c r="A23" s="16" t="s">
        <v>16</v>
      </c>
    </row>
    <row r="25" spans="1:1" ht="15.6" x14ac:dyDescent="0.3">
      <c r="A25" s="15" t="s">
        <v>17</v>
      </c>
    </row>
    <row r="27" spans="1:1" x14ac:dyDescent="0.3">
      <c r="A27" s="17" t="s">
        <v>18</v>
      </c>
    </row>
    <row r="28" spans="1:1" x14ac:dyDescent="0.3">
      <c r="A28" s="16" t="s">
        <v>19</v>
      </c>
    </row>
    <row r="29" spans="1:1" x14ac:dyDescent="0.3">
      <c r="A29" s="16" t="s">
        <v>20</v>
      </c>
    </row>
    <row r="30" spans="1:1" x14ac:dyDescent="0.3">
      <c r="A30" s="16" t="s">
        <v>21</v>
      </c>
    </row>
    <row r="31" spans="1:1" x14ac:dyDescent="0.3">
      <c r="A31" s="16" t="s">
        <v>22</v>
      </c>
    </row>
    <row r="32" spans="1:1" x14ac:dyDescent="0.3">
      <c r="A32" s="16" t="s">
        <v>23</v>
      </c>
    </row>
    <row r="34" spans="1:1" x14ac:dyDescent="0.3">
      <c r="A34" s="17" t="s">
        <v>24</v>
      </c>
    </row>
    <row r="35" spans="1:1" x14ac:dyDescent="0.3">
      <c r="A35" s="16" t="s">
        <v>25</v>
      </c>
    </row>
    <row r="36" spans="1:1" x14ac:dyDescent="0.3">
      <c r="A36" s="16" t="s">
        <v>26</v>
      </c>
    </row>
    <row r="37" spans="1:1" x14ac:dyDescent="0.3">
      <c r="A37" s="16" t="s">
        <v>27</v>
      </c>
    </row>
    <row r="39" spans="1:1" x14ac:dyDescent="0.3">
      <c r="A39" s="17" t="s">
        <v>28</v>
      </c>
    </row>
    <row r="40" spans="1:1" x14ac:dyDescent="0.3">
      <c r="A40" s="16" t="s">
        <v>29</v>
      </c>
    </row>
    <row r="41" spans="1:1" x14ac:dyDescent="0.3">
      <c r="A41" s="16" t="s">
        <v>30</v>
      </c>
    </row>
    <row r="42" spans="1:1" x14ac:dyDescent="0.3">
      <c r="A42" s="16" t="s">
        <v>31</v>
      </c>
    </row>
    <row r="44" spans="1:1" x14ac:dyDescent="0.3">
      <c r="A44" s="17" t="s">
        <v>32</v>
      </c>
    </row>
    <row r="45" spans="1:1" x14ac:dyDescent="0.3">
      <c r="A45" s="16" t="s">
        <v>33</v>
      </c>
    </row>
    <row r="46" spans="1:1" x14ac:dyDescent="0.3">
      <c r="A46" s="16" t="s">
        <v>34</v>
      </c>
    </row>
    <row r="47" spans="1:1" x14ac:dyDescent="0.3">
      <c r="A47" s="16" t="s">
        <v>35</v>
      </c>
    </row>
    <row r="49" spans="1:1" ht="15.6" x14ac:dyDescent="0.3">
      <c r="A49" s="15" t="s">
        <v>36</v>
      </c>
    </row>
    <row r="51" spans="1:1" x14ac:dyDescent="0.3">
      <c r="A51" s="18" t="s">
        <v>37</v>
      </c>
    </row>
    <row r="52" spans="1:1" x14ac:dyDescent="0.3">
      <c r="A52" s="18" t="s">
        <v>38</v>
      </c>
    </row>
    <row r="53" spans="1:1" x14ac:dyDescent="0.3">
      <c r="A53" s="18" t="s">
        <v>39</v>
      </c>
    </row>
    <row r="54" spans="1:1" x14ac:dyDescent="0.3">
      <c r="A54" s="18" t="s">
        <v>40</v>
      </c>
    </row>
    <row r="55" spans="1:1" x14ac:dyDescent="0.3">
      <c r="A55" s="18" t="s">
        <v>41</v>
      </c>
    </row>
    <row r="56" spans="1:1" x14ac:dyDescent="0.3">
      <c r="A56" s="18" t="s">
        <v>42</v>
      </c>
    </row>
    <row r="57" spans="1:1" x14ac:dyDescent="0.3">
      <c r="A57" s="18" t="s">
        <v>43</v>
      </c>
    </row>
    <row r="58" spans="1:1" x14ac:dyDescent="0.3">
      <c r="A58" s="18" t="s">
        <v>44</v>
      </c>
    </row>
    <row r="59" spans="1:1" x14ac:dyDescent="0.3">
      <c r="A59" s="18" t="s">
        <v>45</v>
      </c>
    </row>
    <row r="61" spans="1:1" x14ac:dyDescent="0.3">
      <c r="A61" s="16" t="s">
        <v>46</v>
      </c>
    </row>
    <row r="62" spans="1:1" x14ac:dyDescent="0.3">
      <c r="A62" s="16" t="s">
        <v>47</v>
      </c>
    </row>
    <row r="64" spans="1:1" ht="15.6" x14ac:dyDescent="0.3">
      <c r="A64" s="15" t="s">
        <v>48</v>
      </c>
    </row>
    <row r="66" spans="1:1" x14ac:dyDescent="0.3">
      <c r="A66" s="16" t="s">
        <v>49</v>
      </c>
    </row>
    <row r="67" spans="1:1" x14ac:dyDescent="0.3">
      <c r="A67" s="16" t="s">
        <v>50</v>
      </c>
    </row>
    <row r="68" spans="1:1" x14ac:dyDescent="0.3">
      <c r="A68" s="16" t="s">
        <v>51</v>
      </c>
    </row>
    <row r="69" spans="1:1" x14ac:dyDescent="0.3">
      <c r="A69" s="16" t="s">
        <v>52</v>
      </c>
    </row>
    <row r="70" spans="1:1" x14ac:dyDescent="0.3">
      <c r="A70" s="16" t="s">
        <v>53</v>
      </c>
    </row>
    <row r="71" spans="1:1" x14ac:dyDescent="0.3">
      <c r="A71" s="16" t="s">
        <v>54</v>
      </c>
    </row>
  </sheetData>
  <sheetProtection password="CC0B" sheet="1"/>
  <phoneticPr fontId="17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K76"/>
  <sheetViews>
    <sheetView zoomScale="74" zoomScaleNormal="100" workbookViewId="0">
      <pane xSplit="1" topLeftCell="B1" activePane="topRight" state="frozen"/>
      <selection activeCell="A22" sqref="A22"/>
      <selection pane="topRight" activeCell="B15" sqref="B15"/>
    </sheetView>
  </sheetViews>
  <sheetFormatPr defaultColWidth="8.6640625" defaultRowHeight="14.4" x14ac:dyDescent="0.3"/>
  <cols>
    <col min="1" max="1" width="35" customWidth="1"/>
    <col min="2" max="4" width="18" customWidth="1"/>
    <col min="5" max="11" width="15" customWidth="1"/>
  </cols>
  <sheetData>
    <row r="1" spans="1:11" ht="17.399999999999999" customHeight="1" x14ac:dyDescent="0.3">
      <c r="A1" s="1" t="s">
        <v>55</v>
      </c>
    </row>
    <row r="3" spans="1:11" ht="15" customHeight="1" x14ac:dyDescent="0.3">
      <c r="A3" s="2" t="s">
        <v>56</v>
      </c>
      <c r="B3" s="3" t="s">
        <v>57</v>
      </c>
      <c r="C3" s="3" t="s">
        <v>58</v>
      </c>
      <c r="D3" s="3" t="s">
        <v>59</v>
      </c>
      <c r="E3" s="2"/>
      <c r="F3" s="2"/>
      <c r="G3" s="2"/>
      <c r="H3" s="2"/>
      <c r="I3" s="2"/>
      <c r="J3" s="2"/>
      <c r="K3" s="2"/>
    </row>
    <row r="4" spans="1:11" ht="15" customHeight="1" x14ac:dyDescent="0.3">
      <c r="A4" s="4" t="s">
        <v>60</v>
      </c>
      <c r="B4" s="5">
        <f>K32</f>
        <v>193941.08822572205</v>
      </c>
      <c r="C4" s="5">
        <f>K20</f>
        <v>512904.46511785407</v>
      </c>
      <c r="D4" s="5">
        <f>K44</f>
        <v>1255027.3795886838</v>
      </c>
    </row>
    <row r="5" spans="1:11" ht="15" customHeight="1" x14ac:dyDescent="0.3">
      <c r="A5" s="4" t="s">
        <v>61</v>
      </c>
      <c r="B5" s="5">
        <f>B31</f>
        <v>-64369.271500000032</v>
      </c>
      <c r="C5" s="5">
        <f>B19</f>
        <v>-1314.1350000000093</v>
      </c>
      <c r="D5" s="5">
        <f>B43</f>
        <v>26018.201663999993</v>
      </c>
    </row>
    <row r="6" spans="1:11" ht="15" customHeight="1" x14ac:dyDescent="0.3">
      <c r="A6" s="4"/>
      <c r="B6" s="5"/>
      <c r="C6" s="5"/>
      <c r="D6" s="5"/>
    </row>
    <row r="9" spans="1:11" ht="15" customHeight="1" x14ac:dyDescent="0.3">
      <c r="A9" s="2" t="s">
        <v>62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" customHeight="1" x14ac:dyDescent="0.3">
      <c r="A10" s="6" t="s">
        <v>63</v>
      </c>
    </row>
    <row r="11" spans="1:11" ht="15" customHeight="1" x14ac:dyDescent="0.3">
      <c r="A11" s="7"/>
      <c r="B11" s="8">
        <v>2027</v>
      </c>
      <c r="C11" s="8">
        <v>2028</v>
      </c>
      <c r="D11" s="8">
        <v>2029</v>
      </c>
      <c r="E11" s="8">
        <v>2030</v>
      </c>
      <c r="F11" s="8">
        <v>2031</v>
      </c>
      <c r="G11" s="8">
        <v>2032</v>
      </c>
      <c r="H11" s="8">
        <v>2033</v>
      </c>
      <c r="I11" s="8">
        <v>2034</v>
      </c>
      <c r="J11" s="8">
        <v>2035</v>
      </c>
      <c r="K11" s="8">
        <v>2036</v>
      </c>
    </row>
    <row r="12" spans="1:11" ht="15" customHeight="1" x14ac:dyDescent="0.3">
      <c r="A12" s="4" t="s">
        <v>64</v>
      </c>
      <c r="B12" s="9">
        <f>'P&amp;L'!B10*$C$60*$C$61</f>
        <v>55625</v>
      </c>
      <c r="C12" s="9">
        <f>'P&amp;L'!C10*$C$60*$C$61</f>
        <v>60075</v>
      </c>
      <c r="D12" s="9">
        <f>'P&amp;L'!D10*$C$60*$C$61</f>
        <v>64881</v>
      </c>
      <c r="E12" s="9">
        <f>'P&amp;L'!E10*$C$60*$C$61</f>
        <v>70071.48000000001</v>
      </c>
      <c r="F12" s="9">
        <f>'P&amp;L'!F10*$C$60*$C$61</f>
        <v>72874.339200000031</v>
      </c>
      <c r="G12" s="9">
        <f>'P&amp;L'!G10*$C$60*$C$61</f>
        <v>75789.312768000018</v>
      </c>
      <c r="H12" s="9">
        <f>'P&amp;L'!H10*$C$60*$C$61</f>
        <v>78820.885278720016</v>
      </c>
      <c r="I12" s="9">
        <f>'P&amp;L'!I10*$C$60*$C$61</f>
        <v>81973.720689868816</v>
      </c>
      <c r="J12" s="9">
        <f>'P&amp;L'!J10*$C$60*$C$61</f>
        <v>85252.669517463582</v>
      </c>
      <c r="K12" s="9">
        <f>'P&amp;L'!K10*$C$60*$C$61</f>
        <v>88662.776298162134</v>
      </c>
    </row>
    <row r="13" spans="1:11" ht="15" customHeight="1" x14ac:dyDescent="0.3">
      <c r="A13" s="4" t="s">
        <v>65</v>
      </c>
      <c r="B13" s="9">
        <f>'P&amp;L'!B11*$C$62</f>
        <v>30000</v>
      </c>
      <c r="C13" s="9">
        <f>'P&amp;L'!C11*$C$62</f>
        <v>55000</v>
      </c>
      <c r="D13" s="9">
        <f>'P&amp;L'!D11*$C$62</f>
        <v>75000</v>
      </c>
      <c r="E13" s="9">
        <f>'P&amp;L'!E11*$C$62</f>
        <v>95000</v>
      </c>
      <c r="F13" s="9">
        <f>'P&amp;L'!F11*$C$62</f>
        <v>110000</v>
      </c>
      <c r="G13" s="9">
        <f>'P&amp;L'!G11*$C$62</f>
        <v>116600</v>
      </c>
      <c r="H13" s="9">
        <f>'P&amp;L'!H11*$C$62</f>
        <v>123596.00000000001</v>
      </c>
      <c r="I13" s="9">
        <f>'P&amp;L'!I11*$C$62</f>
        <v>131011.76000000004</v>
      </c>
      <c r="J13" s="9">
        <f>'P&amp;L'!J11*$C$62</f>
        <v>138872.46560000003</v>
      </c>
      <c r="K13" s="9">
        <f>'P&amp;L'!K11*$C$62</f>
        <v>147204.81353600006</v>
      </c>
    </row>
    <row r="14" spans="1:11" ht="15" customHeight="1" x14ac:dyDescent="0.3">
      <c r="A14" s="4" t="s">
        <v>66</v>
      </c>
      <c r="B14" s="9">
        <f>'P&amp;L'!B12*$C$63+'P&amp;L'!B13+'P&amp;L'!B14+'P&amp;L'!B15</f>
        <v>12640</v>
      </c>
      <c r="C14" s="9">
        <f>'P&amp;L'!C12*$C$63+'P&amp;L'!C13+'P&amp;L'!C14+'P&amp;L'!C15</f>
        <v>15199.2</v>
      </c>
      <c r="D14" s="9">
        <f>'P&amp;L'!D12*$C$63+'P&amp;L'!D13+'P&amp;L'!D14+'P&amp;L'!D15</f>
        <v>17759.776000000002</v>
      </c>
      <c r="E14" s="9">
        <f>'P&amp;L'!E12*$C$63+'P&amp;L'!E13+'P&amp;L'!E14+'P&amp;L'!E15</f>
        <v>22821.761280000002</v>
      </c>
      <c r="F14" s="9">
        <f>'P&amp;L'!F12*$C$63+'P&amp;L'!F13+'P&amp;L'!F14+'P&amp;L'!F15</f>
        <v>27885.189958400002</v>
      </c>
      <c r="G14" s="9">
        <f>'P&amp;L'!G12*$C$63+'P&amp;L'!G13+'P&amp;L'!G14+'P&amp;L'!G15</f>
        <v>32950.097013952</v>
      </c>
      <c r="H14" s="9">
        <f>'P&amp;L'!H12*$C$63+'P&amp;L'!H13+'P&amp;L'!H14+'P&amp;L'!H15</f>
        <v>33016.518308306564</v>
      </c>
      <c r="I14" s="9">
        <f>'P&amp;L'!I12*$C$63+'P&amp;L'!I13+'P&amp;L'!I14+'P&amp;L'!I15</f>
        <v>38084.490609170476</v>
      </c>
      <c r="J14" s="9">
        <f>'P&amp;L'!J12*$C$63+'P&amp;L'!J13+'P&amp;L'!J14+'P&amp;L'!J15</f>
        <v>43154.051614092605</v>
      </c>
      <c r="K14" s="9">
        <f>'P&amp;L'!K12*$C$63+'P&amp;L'!K13+'P&amp;L'!K14+'P&amp;L'!K15</f>
        <v>48225.239974895339</v>
      </c>
    </row>
    <row r="15" spans="1:11" ht="15" customHeight="1" x14ac:dyDescent="0.3">
      <c r="A15" s="6" t="s">
        <v>67</v>
      </c>
      <c r="B15" s="5">
        <f>(B12+B13+B14)*(1+IF(2027&gt;=$C$71,Revenue!$B$11,0))</f>
        <v>152310.75</v>
      </c>
      <c r="C15" s="5">
        <f>(C12+C13+C14)*(1+IF(2028&gt;=$C$71,Revenue!$B$11,0))</f>
        <v>201925.01</v>
      </c>
      <c r="D15" s="5">
        <f>(D12+D13+D14)*(1+IF(2029&gt;=$C$71,Revenue!$B$11,0))</f>
        <v>244343.20280000003</v>
      </c>
      <c r="E15" s="5">
        <f>(E12+E13+E14)*(1+IF(2030&gt;=$C$71,Revenue!$B$11,0))</f>
        <v>291234.52398400003</v>
      </c>
      <c r="F15" s="5">
        <f>(F12+F13+F14)*(1+IF(2031&gt;=$C$71,Revenue!$B$11,0))</f>
        <v>326677.27019552008</v>
      </c>
      <c r="G15" s="5">
        <f>(G12+G13+G14)*(1+IF(2032&gt;=$C$71,Revenue!$B$11,0))</f>
        <v>349276.08516202564</v>
      </c>
      <c r="H15" s="5">
        <f>(H12+H13+H14)*(1+IF(2033&gt;=$C$71,Revenue!$B$11,0))</f>
        <v>364921.77555989119</v>
      </c>
      <c r="I15" s="5">
        <f>(I12+I13+I14)*(1+IF(2034&gt;=$C$71,Revenue!$B$11,0))</f>
        <v>389158.45551351097</v>
      </c>
      <c r="J15" s="5">
        <f>(J12+J13+J14)*(1+IF(2035&gt;=$C$71,Revenue!$B$11,0))</f>
        <v>414282.73943391209</v>
      </c>
      <c r="K15" s="5">
        <f>(K12+K13+K14)*(1+IF(2036&gt;=$C$71,Revenue!$B$11,0))</f>
        <v>440343.88620403915</v>
      </c>
    </row>
    <row r="16" spans="1:11" ht="15" customHeight="1" x14ac:dyDescent="0.3">
      <c r="A16" s="4" t="s">
        <v>68</v>
      </c>
      <c r="B16" s="9">
        <f>'P&amp;L'!B20*$C$66+'P&amp;L'!B21+'P&amp;L'!B22*$C$67</f>
        <v>-153624.88500000001</v>
      </c>
      <c r="C16" s="9">
        <f>'P&amp;L'!C20*$C$66+'P&amp;L'!C21+'P&amp;L'!C22*$C$67</f>
        <v>-169557.53154999999</v>
      </c>
      <c r="D16" s="9">
        <f>'P&amp;L'!D20*$C$66+'P&amp;L'!D21+'P&amp;L'!D22*$C$67</f>
        <v>-185810.4024965</v>
      </c>
      <c r="E16" s="9">
        <f>'P&amp;L'!E20*$C$66+'P&amp;L'!E21+'P&amp;L'!E22*$C$67</f>
        <v>-243401.71775139499</v>
      </c>
      <c r="F16" s="9">
        <f>'P&amp;L'!F20*$C$66+'P&amp;L'!F21+'P&amp;L'!F22*$C$67</f>
        <v>-270350.76218433684</v>
      </c>
      <c r="G16" s="9">
        <f>'P&amp;L'!G20*$C$66+'P&amp;L'!G21+'P&amp;L'!G22*$C$67</f>
        <v>-280477.94870448299</v>
      </c>
      <c r="H16" s="9">
        <f>'P&amp;L'!H20*$C$66+'P&amp;L'!H21+'P&amp;L'!H22*$C$67</f>
        <v>-307116.88510330627</v>
      </c>
      <c r="I16" s="9">
        <f>'P&amp;L'!I20*$C$66+'P&amp;L'!I21+'P&amp;L'!I22*$C$67</f>
        <v>-319294.92488342733</v>
      </c>
      <c r="J16" s="9">
        <f>'P&amp;L'!J20*$C$66+'P&amp;L'!J21+'P&amp;L'!J22*$C$67</f>
        <v>-333040.94151190657</v>
      </c>
      <c r="K16" s="9">
        <f>'P&amp;L'!K20*$C$66+'P&amp;L'!K21+'P&amp;L'!K22*$C$67</f>
        <v>-347385.41511871864</v>
      </c>
    </row>
    <row r="17" spans="1:11" ht="15" customHeight="1" x14ac:dyDescent="0.3">
      <c r="A17" s="6" t="s">
        <v>69</v>
      </c>
      <c r="B17" s="5">
        <f t="shared" ref="B17:K17" si="0">B15+B16</f>
        <v>-1314.1350000000093</v>
      </c>
      <c r="C17" s="5">
        <f t="shared" si="0"/>
        <v>32367.478450000024</v>
      </c>
      <c r="D17" s="5">
        <f t="shared" si="0"/>
        <v>58532.800303500029</v>
      </c>
      <c r="E17" s="5">
        <f t="shared" si="0"/>
        <v>47832.806232605042</v>
      </c>
      <c r="F17" s="5">
        <f t="shared" si="0"/>
        <v>56326.508011183236</v>
      </c>
      <c r="G17" s="5">
        <f t="shared" si="0"/>
        <v>68798.136457542656</v>
      </c>
      <c r="H17" s="5">
        <f t="shared" si="0"/>
        <v>57804.890456584923</v>
      </c>
      <c r="I17" s="5">
        <f t="shared" si="0"/>
        <v>69863.530630083638</v>
      </c>
      <c r="J17" s="5">
        <f t="shared" si="0"/>
        <v>81241.797922005528</v>
      </c>
      <c r="K17" s="5">
        <f t="shared" si="0"/>
        <v>92958.471085320518</v>
      </c>
    </row>
    <row r="18" spans="1:11" ht="15" customHeight="1" x14ac:dyDescent="0.3">
      <c r="A18" s="4" t="s">
        <v>70</v>
      </c>
      <c r="B18" s="10">
        <f>IF(B17&gt;0,-B17*'P&amp;L'!$B$5,0)</f>
        <v>0</v>
      </c>
      <c r="C18" s="10">
        <f>IF(C17&gt;0,-C17*'P&amp;L'!$B$5,0)</f>
        <v>-4091.2492760800033</v>
      </c>
      <c r="D18" s="10">
        <f>IF(D17&gt;0,-D17*'P&amp;L'!$B$5,0)</f>
        <v>-7398.5459583624042</v>
      </c>
      <c r="E18" s="10">
        <f>IF(E17&gt;0,-E17*'P&amp;L'!$B$5,0)</f>
        <v>-6046.0667078012775</v>
      </c>
      <c r="F18" s="10">
        <f>IF(F17&gt;0,-F17*'P&amp;L'!$B$5,0)</f>
        <v>-7119.6706126135614</v>
      </c>
      <c r="G18" s="10">
        <f>IF(G17&gt;0,-G17*'P&amp;L'!$B$5,0)</f>
        <v>-8696.0844482333923</v>
      </c>
      <c r="H18" s="10">
        <f>IF(H17&gt;0,-H17*'P&amp;L'!$B$5,0)</f>
        <v>-7306.5381537123349</v>
      </c>
      <c r="I18" s="10">
        <f>IF(I17&gt;0,-I17*'P&amp;L'!$B$5,0)</f>
        <v>-8830.7502716425734</v>
      </c>
      <c r="J18" s="10">
        <f>IF(J17&gt;0,-J17*'P&amp;L'!$B$5,0)</f>
        <v>-10268.9632573415</v>
      </c>
      <c r="K18" s="10">
        <f>IF(K17&gt;0,-K17*'P&amp;L'!$B$5,0)</f>
        <v>-11749.950745184515</v>
      </c>
    </row>
    <row r="19" spans="1:11" ht="15" customHeight="1" x14ac:dyDescent="0.3">
      <c r="A19" s="6" t="s">
        <v>71</v>
      </c>
      <c r="B19" s="5">
        <f t="shared" ref="B19:K19" si="1">B17+B18</f>
        <v>-1314.1350000000093</v>
      </c>
      <c r="C19" s="5">
        <f t="shared" si="1"/>
        <v>28276.229173920023</v>
      </c>
      <c r="D19" s="5">
        <f t="shared" si="1"/>
        <v>51134.254345137626</v>
      </c>
      <c r="E19" s="5">
        <f t="shared" si="1"/>
        <v>41786.739524803765</v>
      </c>
      <c r="F19" s="5">
        <f t="shared" si="1"/>
        <v>49206.837398569674</v>
      </c>
      <c r="G19" s="5">
        <f t="shared" si="1"/>
        <v>60102.052009309264</v>
      </c>
      <c r="H19" s="5">
        <f t="shared" si="1"/>
        <v>50498.35230287259</v>
      </c>
      <c r="I19" s="5">
        <f t="shared" si="1"/>
        <v>61032.780358441065</v>
      </c>
      <c r="J19" s="5">
        <f t="shared" si="1"/>
        <v>70972.834664664028</v>
      </c>
      <c r="K19" s="5">
        <f t="shared" si="1"/>
        <v>81208.520340136005</v>
      </c>
    </row>
    <row r="20" spans="1:11" ht="15" customHeight="1" x14ac:dyDescent="0.3">
      <c r="A20" s="6" t="s">
        <v>72</v>
      </c>
      <c r="B20" s="5">
        <f>'P&amp;L'!$B$6+B19</f>
        <v>18685.864999999991</v>
      </c>
      <c r="C20" s="5">
        <f t="shared" ref="C20:K20" si="2">B20+C19</f>
        <v>46962.094173920013</v>
      </c>
      <c r="D20" s="5">
        <f t="shared" si="2"/>
        <v>98096.348519057647</v>
      </c>
      <c r="E20" s="5">
        <f t="shared" si="2"/>
        <v>139883.08804386141</v>
      </c>
      <c r="F20" s="5">
        <f t="shared" si="2"/>
        <v>189089.92544243109</v>
      </c>
      <c r="G20" s="5">
        <f t="shared" si="2"/>
        <v>249191.97745174036</v>
      </c>
      <c r="H20" s="5">
        <f t="shared" si="2"/>
        <v>299690.32975461293</v>
      </c>
      <c r="I20" s="5">
        <f t="shared" si="2"/>
        <v>360723.11011305399</v>
      </c>
      <c r="J20" s="5">
        <f t="shared" si="2"/>
        <v>431695.94477771805</v>
      </c>
      <c r="K20" s="11">
        <f t="shared" si="2"/>
        <v>512904.46511785407</v>
      </c>
    </row>
    <row r="22" spans="1:11" ht="15" customHeight="1" x14ac:dyDescent="0.3">
      <c r="A22" s="6" t="s">
        <v>73</v>
      </c>
    </row>
    <row r="23" spans="1:11" ht="15" customHeight="1" x14ac:dyDescent="0.3">
      <c r="A23" s="7"/>
      <c r="B23" s="8">
        <v>2027</v>
      </c>
      <c r="C23" s="8">
        <v>2028</v>
      </c>
      <c r="D23" s="8">
        <v>2029</v>
      </c>
      <c r="E23" s="8">
        <v>2030</v>
      </c>
      <c r="F23" s="8">
        <v>2031</v>
      </c>
      <c r="G23" s="8">
        <v>2032</v>
      </c>
      <c r="H23" s="8">
        <v>2033</v>
      </c>
      <c r="I23" s="8">
        <v>2034</v>
      </c>
      <c r="J23" s="8">
        <v>2035</v>
      </c>
      <c r="K23" s="8">
        <v>2036</v>
      </c>
    </row>
    <row r="24" spans="1:11" ht="15" customHeight="1" x14ac:dyDescent="0.3">
      <c r="A24" s="4" t="s">
        <v>74</v>
      </c>
      <c r="B24" s="9">
        <f>'P&amp;L'!B10*$B$60*$B$61</f>
        <v>42553.125</v>
      </c>
      <c r="C24" s="9">
        <f>'P&amp;L'!C10*$B$60*$B$61</f>
        <v>45957.375</v>
      </c>
      <c r="D24" s="9">
        <f>'P&amp;L'!D10*$B$60*$B$61</f>
        <v>49633.964999999997</v>
      </c>
      <c r="E24" s="9">
        <f>'P&amp;L'!E10*$B$60*$B$61</f>
        <v>53604.68220000001</v>
      </c>
      <c r="F24" s="9">
        <f>'P&amp;L'!F10*$B$60*$B$61</f>
        <v>55748.869488000018</v>
      </c>
      <c r="G24" s="9">
        <f>'P&amp;L'!G10*$B$60*$B$61</f>
        <v>57978.824267520009</v>
      </c>
      <c r="H24" s="9">
        <f>'P&amp;L'!H10*$B$60*$B$61</f>
        <v>60297.97723822081</v>
      </c>
      <c r="I24" s="9">
        <f>'P&amp;L'!I10*$B$60*$B$61</f>
        <v>62709.896327749651</v>
      </c>
      <c r="J24" s="9">
        <f>'P&amp;L'!J10*$B$60*$B$61</f>
        <v>65218.292180859644</v>
      </c>
      <c r="K24" s="9">
        <f>'P&amp;L'!K10*$B$60*$B$61</f>
        <v>67827.023868094038</v>
      </c>
    </row>
    <row r="25" spans="1:11" ht="15" customHeight="1" x14ac:dyDescent="0.3">
      <c r="A25" s="4" t="s">
        <v>75</v>
      </c>
      <c r="B25" s="9">
        <f>'P&amp;L'!B11*$B$62</f>
        <v>18000</v>
      </c>
      <c r="C25" s="9">
        <f>'P&amp;L'!C11*$B$62</f>
        <v>33000</v>
      </c>
      <c r="D25" s="9">
        <f>'P&amp;L'!D11*$B$62</f>
        <v>45000</v>
      </c>
      <c r="E25" s="9">
        <f>'P&amp;L'!E11*$B$62</f>
        <v>57000</v>
      </c>
      <c r="F25" s="9">
        <f>'P&amp;L'!F11*$B$62</f>
        <v>66000</v>
      </c>
      <c r="G25" s="9">
        <f>'P&amp;L'!G11*$B$62</f>
        <v>69960</v>
      </c>
      <c r="H25" s="9">
        <f>'P&amp;L'!H11*$B$62</f>
        <v>74157.600000000006</v>
      </c>
      <c r="I25" s="9">
        <f>'P&amp;L'!I11*$B$62</f>
        <v>78607.056000000026</v>
      </c>
      <c r="J25" s="9">
        <f>'P&amp;L'!J11*$B$62</f>
        <v>83323.479360000012</v>
      </c>
      <c r="K25" s="9">
        <f>'P&amp;L'!K11*$B$62</f>
        <v>88322.88812160003</v>
      </c>
    </row>
    <row r="26" spans="1:11" ht="15" customHeight="1" x14ac:dyDescent="0.3">
      <c r="A26" s="4" t="s">
        <v>76</v>
      </c>
      <c r="B26" s="9">
        <f>'P&amp;L'!B12*$B$63+'P&amp;L'!B13+'P&amp;L'!B14+'P&amp;L'!B15</f>
        <v>10140</v>
      </c>
      <c r="C26" s="9">
        <f>'P&amp;L'!C12*$B$63+'P&amp;L'!C13+'P&amp;L'!C14+'P&amp;L'!C15</f>
        <v>12074.2</v>
      </c>
      <c r="D26" s="9">
        <f>'P&amp;L'!D12*$B$63+'P&amp;L'!D13+'P&amp;L'!D14+'P&amp;L'!D15</f>
        <v>14009.776000000002</v>
      </c>
      <c r="E26" s="9">
        <f>'P&amp;L'!E12*$B$63+'P&amp;L'!E13+'P&amp;L'!E14+'P&amp;L'!E15</f>
        <v>17821.761279999999</v>
      </c>
      <c r="F26" s="9">
        <f>'P&amp;L'!F12*$B$63+'P&amp;L'!F13+'P&amp;L'!F14+'P&amp;L'!F15</f>
        <v>21635.189958400002</v>
      </c>
      <c r="G26" s="9">
        <f>'P&amp;L'!G12*$B$63+'P&amp;L'!G13+'P&amp;L'!G14+'P&amp;L'!G15</f>
        <v>25450.097013952</v>
      </c>
      <c r="H26" s="9">
        <f>'P&amp;L'!H12*$B$63+'P&amp;L'!H13+'P&amp;L'!H14+'P&amp;L'!H15</f>
        <v>25516.51830830656</v>
      </c>
      <c r="I26" s="9">
        <f>'P&amp;L'!I12*$B$63+'P&amp;L'!I13+'P&amp;L'!I14+'P&amp;L'!I15</f>
        <v>29334.49060917048</v>
      </c>
      <c r="J26" s="9">
        <f>'P&amp;L'!J12*$B$63+'P&amp;L'!J13+'P&amp;L'!J14+'P&amp;L'!J15</f>
        <v>33154.051614092605</v>
      </c>
      <c r="K26" s="9">
        <f>'P&amp;L'!K12*$B$63+'P&amp;L'!K13+'P&amp;L'!K14+'P&amp;L'!K15</f>
        <v>36975.239974895339</v>
      </c>
    </row>
    <row r="27" spans="1:11" ht="15" customHeight="1" x14ac:dyDescent="0.3">
      <c r="A27" s="6" t="s">
        <v>67</v>
      </c>
      <c r="B27" s="5">
        <f>(B24+B25+B26)*(1+IF(2027&gt;=$B$71,Revenue!$B$11,0))</f>
        <v>70693.125</v>
      </c>
      <c r="C27" s="5">
        <f>(C24+C25+C26)*(1+IF(2028&gt;=$B$71,Revenue!$B$11,0))</f>
        <v>91031.574999999997</v>
      </c>
      <c r="D27" s="5">
        <f>(D24+D25+D26)*(1+IF(2029&gt;=$B$71,Revenue!$B$11,0))</f>
        <v>168397.79855000001</v>
      </c>
      <c r="E27" s="5">
        <f>(E24+E25+E26)*(1+IF(2030&gt;=$B$71,Revenue!$B$11,0))</f>
        <v>199060.98739400003</v>
      </c>
      <c r="F27" s="5">
        <f>(F24+F25+F26)*(1+IF(2031&gt;=$B$71,Revenue!$B$11,0))</f>
        <v>222245.29214192004</v>
      </c>
      <c r="G27" s="5">
        <f>(G24+G25+G26)*(1+IF(2032&gt;=$B$71,Revenue!$B$11,0))</f>
        <v>237752.82798628166</v>
      </c>
      <c r="H27" s="5">
        <f>(H24+H25+H26)*(1+IF(2033&gt;=$B$71,Revenue!$B$11,0))</f>
        <v>247956.74809711741</v>
      </c>
      <c r="I27" s="5">
        <f>(I24+I25+I26)*(1+IF(2034&gt;=$B$71,Revenue!$B$11,0))</f>
        <v>264509.7365522263</v>
      </c>
      <c r="J27" s="5">
        <f>(J24+J25+J26)*(1+IF(2035&gt;=$B$71,Revenue!$B$11,0))</f>
        <v>281628.52589017601</v>
      </c>
      <c r="K27" s="5">
        <f>(K24+K25+K26)*(1+IF(2036&gt;=$B$71,Revenue!$B$11,0))</f>
        <v>299343.98554511357</v>
      </c>
    </row>
    <row r="28" spans="1:11" ht="15" customHeight="1" x14ac:dyDescent="0.3">
      <c r="A28" s="4" t="s">
        <v>77</v>
      </c>
      <c r="B28" s="9">
        <f>'P&amp;L'!B20*$B$66-$B$68+'P&amp;L'!B22*$B$67</f>
        <v>-135062.39650000003</v>
      </c>
      <c r="C28" s="9">
        <f>'P&amp;L'!C20*$B$66-$B$68+'P&amp;L'!C22*$B$67</f>
        <v>-145401.77839499997</v>
      </c>
      <c r="D28" s="9">
        <f>'P&amp;L'!D20*$B$66-$B$68+'P&amp;L'!D22*$B$67</f>
        <v>-156029.36224685001</v>
      </c>
      <c r="E28" s="9">
        <f>'P&amp;L'!E20*$B$66-$B$68+'P&amp;L'!E22*$B$67</f>
        <v>-171961.5459762555</v>
      </c>
      <c r="F28" s="9">
        <f>'P&amp;L'!F20*$B$66-$B$68+'P&amp;L'!F22*$B$67</f>
        <v>-188215.68596590316</v>
      </c>
      <c r="G28" s="9">
        <f>'P&amp;L'!G20*$B$66-$B$68+'P&amp;L'!G22*$B$67</f>
        <v>-196210.15383403469</v>
      </c>
      <c r="H28" s="9">
        <f>'P&amp;L'!H20*$B$66-$B$68+'P&amp;L'!H22*$B$67</f>
        <v>-204620.39659297565</v>
      </c>
      <c r="I28" s="9">
        <f>'P&amp;L'!I20*$B$66-$B$68+'P&amp;L'!I22*$B$67</f>
        <v>-213469.24039508461</v>
      </c>
      <c r="J28" s="9">
        <f>'P&amp;L'!J20*$B$66-$B$68+'P&amp;L'!J22*$B$67</f>
        <v>-222780.80768071592</v>
      </c>
      <c r="K28" s="9">
        <f>'P&amp;L'!K20*$B$66-$B$68+'P&amp;L'!K22*$B$67</f>
        <v>-232580.5923396468</v>
      </c>
    </row>
    <row r="29" spans="1:11" ht="15" customHeight="1" x14ac:dyDescent="0.3">
      <c r="A29" s="6" t="s">
        <v>69</v>
      </c>
      <c r="B29" s="5">
        <f t="shared" ref="B29:K29" si="3">B27+B28</f>
        <v>-64369.271500000032</v>
      </c>
      <c r="C29" s="5">
        <f t="shared" si="3"/>
        <v>-54370.203394999975</v>
      </c>
      <c r="D29" s="5">
        <f t="shared" si="3"/>
        <v>12368.436303149996</v>
      </c>
      <c r="E29" s="5">
        <f t="shared" si="3"/>
        <v>27099.441417744529</v>
      </c>
      <c r="F29" s="5">
        <f t="shared" si="3"/>
        <v>34029.606176016881</v>
      </c>
      <c r="G29" s="5">
        <f t="shared" si="3"/>
        <v>41542.674152246967</v>
      </c>
      <c r="H29" s="5">
        <f t="shared" si="3"/>
        <v>43336.351504141756</v>
      </c>
      <c r="I29" s="5">
        <f t="shared" si="3"/>
        <v>51040.496157141693</v>
      </c>
      <c r="J29" s="5">
        <f t="shared" si="3"/>
        <v>58847.718209460087</v>
      </c>
      <c r="K29" s="5">
        <f t="shared" si="3"/>
        <v>66763.393205466768</v>
      </c>
    </row>
    <row r="30" spans="1:11" ht="15" customHeight="1" x14ac:dyDescent="0.3">
      <c r="A30" s="4" t="s">
        <v>70</v>
      </c>
      <c r="B30" s="9">
        <f>IF(B29&gt;0,-B29*'P&amp;L'!$B$5,0)</f>
        <v>0</v>
      </c>
      <c r="C30" s="9">
        <f>IF(C29&gt;0,-C29*'P&amp;L'!$B$5,0)</f>
        <v>0</v>
      </c>
      <c r="D30" s="9">
        <f>IF(D29&gt;0,-D29*'P&amp;L'!$B$5,0)</f>
        <v>-1563.3703487181597</v>
      </c>
      <c r="E30" s="9">
        <f>IF(E29&gt;0,-E29*'P&amp;L'!$B$5,0)</f>
        <v>-3425.3693952029089</v>
      </c>
      <c r="F30" s="9">
        <f>IF(F29&gt;0,-F29*'P&amp;L'!$B$5,0)</f>
        <v>-4301.3422206485338</v>
      </c>
      <c r="G30" s="9">
        <f>IF(G29&gt;0,-G29*'P&amp;L'!$B$5,0)</f>
        <v>-5250.9940128440176</v>
      </c>
      <c r="H30" s="9">
        <f>IF(H29&gt;0,-H29*'P&amp;L'!$B$5,0)</f>
        <v>-5477.7148301235184</v>
      </c>
      <c r="I30" s="9">
        <f>IF(I29&gt;0,-I29*'P&amp;L'!$B$5,0)</f>
        <v>-6451.518714262711</v>
      </c>
      <c r="J30" s="9">
        <f>IF(J29&gt;0,-J29*'P&amp;L'!$B$5,0)</f>
        <v>-7438.3515816757554</v>
      </c>
      <c r="K30" s="9">
        <f>IF(K29&gt;0,-K29*'P&amp;L'!$B$5,0)</f>
        <v>-8438.8929011710006</v>
      </c>
    </row>
    <row r="31" spans="1:11" ht="15" customHeight="1" x14ac:dyDescent="0.3">
      <c r="A31" s="6" t="s">
        <v>71</v>
      </c>
      <c r="B31" s="5">
        <f t="shared" ref="B31:K31" si="4">B29+B30</f>
        <v>-64369.271500000032</v>
      </c>
      <c r="C31" s="5">
        <f t="shared" si="4"/>
        <v>-54370.203394999975</v>
      </c>
      <c r="D31" s="5">
        <f t="shared" si="4"/>
        <v>10805.065954431837</v>
      </c>
      <c r="E31" s="5">
        <f t="shared" si="4"/>
        <v>23674.072022541619</v>
      </c>
      <c r="F31" s="5">
        <f t="shared" si="4"/>
        <v>29728.263955368348</v>
      </c>
      <c r="G31" s="5">
        <f t="shared" si="4"/>
        <v>36291.680139402946</v>
      </c>
      <c r="H31" s="5">
        <f t="shared" si="4"/>
        <v>37858.636674018235</v>
      </c>
      <c r="I31" s="5">
        <f t="shared" si="4"/>
        <v>44588.977442878982</v>
      </c>
      <c r="J31" s="5">
        <f t="shared" si="4"/>
        <v>51409.366627784329</v>
      </c>
      <c r="K31" s="5">
        <f t="shared" si="4"/>
        <v>58324.500304295769</v>
      </c>
    </row>
    <row r="32" spans="1:11" ht="15" customHeight="1" x14ac:dyDescent="0.3">
      <c r="A32" s="6" t="s">
        <v>72</v>
      </c>
      <c r="B32" s="5">
        <f>'P&amp;L'!$B$6+B31</f>
        <v>-44369.271500000032</v>
      </c>
      <c r="C32" s="5">
        <f t="shared" ref="C32:K32" si="5">B32+C31</f>
        <v>-98739.474895000007</v>
      </c>
      <c r="D32" s="5">
        <f t="shared" si="5"/>
        <v>-87934.408940568173</v>
      </c>
      <c r="E32" s="5">
        <f t="shared" si="5"/>
        <v>-64260.336918026558</v>
      </c>
      <c r="F32" s="5">
        <f t="shared" si="5"/>
        <v>-34532.072962658211</v>
      </c>
      <c r="G32" s="5">
        <f t="shared" si="5"/>
        <v>1759.6071767447356</v>
      </c>
      <c r="H32" s="5">
        <f t="shared" si="5"/>
        <v>39618.24385076297</v>
      </c>
      <c r="I32" s="5">
        <f t="shared" si="5"/>
        <v>84207.221293641953</v>
      </c>
      <c r="J32" s="5">
        <f t="shared" si="5"/>
        <v>135616.58792142628</v>
      </c>
      <c r="K32" s="11">
        <f t="shared" si="5"/>
        <v>193941.08822572205</v>
      </c>
    </row>
    <row r="34" spans="1:11" ht="15" customHeight="1" x14ac:dyDescent="0.3">
      <c r="A34" s="6" t="s">
        <v>78</v>
      </c>
    </row>
    <row r="35" spans="1:11" ht="15" customHeight="1" x14ac:dyDescent="0.3">
      <c r="A35" s="7"/>
      <c r="B35" s="8">
        <v>2027</v>
      </c>
      <c r="C35" s="8">
        <v>2028</v>
      </c>
      <c r="D35" s="8">
        <v>2029</v>
      </c>
      <c r="E35" s="8">
        <v>2030</v>
      </c>
      <c r="F35" s="8">
        <v>2031</v>
      </c>
      <c r="G35" s="8">
        <v>2032</v>
      </c>
      <c r="H35" s="8">
        <v>2033</v>
      </c>
      <c r="I35" s="8">
        <v>2034</v>
      </c>
      <c r="J35" s="8">
        <v>2035</v>
      </c>
      <c r="K35" s="8">
        <v>2036</v>
      </c>
    </row>
    <row r="36" spans="1:11" ht="15" customHeight="1" x14ac:dyDescent="0.3">
      <c r="A36" s="4" t="s">
        <v>74</v>
      </c>
      <c r="B36" s="9">
        <f>'P&amp;L'!B10*$D$60*$D$61</f>
        <v>61187.500000000007</v>
      </c>
      <c r="C36" s="9">
        <f>'P&amp;L'!C10*$D$60*$D$61</f>
        <v>66082.5</v>
      </c>
      <c r="D36" s="9">
        <f>'P&amp;L'!D10*$D$60*$D$61</f>
        <v>71369.100000000006</v>
      </c>
      <c r="E36" s="9">
        <f>'P&amp;L'!E10*$D$60*$D$61</f>
        <v>77078.628000000012</v>
      </c>
      <c r="F36" s="9">
        <f>'P&amp;L'!F10*$D$60*$D$61</f>
        <v>80161.773120000042</v>
      </c>
      <c r="G36" s="9">
        <f>'P&amp;L'!G10*$D$60*$D$61</f>
        <v>83368.244044800027</v>
      </c>
      <c r="H36" s="9">
        <f>'P&amp;L'!H10*$D$60*$D$61</f>
        <v>86702.973806592025</v>
      </c>
      <c r="I36" s="9">
        <f>'P&amp;L'!I10*$D$60*$D$61</f>
        <v>90171.09275885571</v>
      </c>
      <c r="J36" s="9">
        <f>'P&amp;L'!J10*$D$60*$D$61</f>
        <v>93777.936469209948</v>
      </c>
      <c r="K36" s="9">
        <f>'P&amp;L'!K10*$D$60*$D$61</f>
        <v>97529.053927978355</v>
      </c>
    </row>
    <row r="37" spans="1:11" ht="15" customHeight="1" x14ac:dyDescent="0.3">
      <c r="A37" s="4" t="s">
        <v>75</v>
      </c>
      <c r="B37" s="9">
        <f>'P&amp;L'!B11*$D$62</f>
        <v>42000</v>
      </c>
      <c r="C37" s="9">
        <f>'P&amp;L'!C11*$D$62</f>
        <v>77000</v>
      </c>
      <c r="D37" s="9">
        <f>'P&amp;L'!D11*$D$62</f>
        <v>105000</v>
      </c>
      <c r="E37" s="9">
        <f>'P&amp;L'!E11*$D$62</f>
        <v>133000</v>
      </c>
      <c r="F37" s="9">
        <f>'P&amp;L'!F11*$D$62</f>
        <v>154000</v>
      </c>
      <c r="G37" s="9">
        <f>'P&amp;L'!G11*$D$62</f>
        <v>163240</v>
      </c>
      <c r="H37" s="9">
        <f>'P&amp;L'!H11*$D$62</f>
        <v>173034.40000000002</v>
      </c>
      <c r="I37" s="9">
        <f>'P&amp;L'!I11*$D$62</f>
        <v>183416.46400000004</v>
      </c>
      <c r="J37" s="9">
        <f>'P&amp;L'!J11*$D$62</f>
        <v>194421.45184000002</v>
      </c>
      <c r="K37" s="9">
        <f>'P&amp;L'!K11*$D$62</f>
        <v>206086.73895040006</v>
      </c>
    </row>
    <row r="38" spans="1:11" ht="15" customHeight="1" x14ac:dyDescent="0.3">
      <c r="A38" s="4" t="s">
        <v>76</v>
      </c>
      <c r="B38" s="9">
        <f>'P&amp;L'!B12*$D$63+'P&amp;L'!B13+'P&amp;L'!B14+'P&amp;L'!B15</f>
        <v>15140</v>
      </c>
      <c r="C38" s="9">
        <f>'P&amp;L'!C12*$D$63+'P&amp;L'!C13+'P&amp;L'!C14+'P&amp;L'!C15</f>
        <v>18324.2</v>
      </c>
      <c r="D38" s="9">
        <f>'P&amp;L'!D12*$D$63+'P&amp;L'!D13+'P&amp;L'!D14+'P&amp;L'!D15</f>
        <v>21509.775999999998</v>
      </c>
      <c r="E38" s="9">
        <f>'P&amp;L'!E12*$D$63+'P&amp;L'!E13+'P&amp;L'!E14+'P&amp;L'!E15</f>
        <v>27821.761280000002</v>
      </c>
      <c r="F38" s="9">
        <f>'P&amp;L'!F12*$D$63+'P&amp;L'!F13+'P&amp;L'!F14+'P&amp;L'!F15</f>
        <v>34135.189958399998</v>
      </c>
      <c r="G38" s="9">
        <f>'P&amp;L'!G12*$D$63+'P&amp;L'!G13+'P&amp;L'!G14+'P&amp;L'!G15</f>
        <v>40450.097013952</v>
      </c>
      <c r="H38" s="9">
        <f>'P&amp;L'!H12*$D$63+'P&amp;L'!H13+'P&amp;L'!H14+'P&amp;L'!H15</f>
        <v>40516.518308306564</v>
      </c>
      <c r="I38" s="9">
        <f>'P&amp;L'!I12*$D$63+'P&amp;L'!I13+'P&amp;L'!I14+'P&amp;L'!I15</f>
        <v>46834.490609170476</v>
      </c>
      <c r="J38" s="9">
        <f>'P&amp;L'!J12*$D$63+'P&amp;L'!J13+'P&amp;L'!J14+'P&amp;L'!J15</f>
        <v>53154.051614092605</v>
      </c>
      <c r="K38" s="9">
        <f>'P&amp;L'!K12*$D$63+'P&amp;L'!K13+'P&amp;L'!K14+'P&amp;L'!K15</f>
        <v>59475.239974895339</v>
      </c>
    </row>
    <row r="39" spans="1:11" ht="15" customHeight="1" x14ac:dyDescent="0.3">
      <c r="A39" s="6" t="s">
        <v>67</v>
      </c>
      <c r="B39" s="5">
        <f>(B36+B37+B38)*(1+IF(2027&gt;=$D$71,Revenue!$B$11,0))</f>
        <v>183407.625</v>
      </c>
      <c r="C39" s="5">
        <f>(C36+C37+C38)*(1+IF(2028&gt;=$D$71,Revenue!$B$11,0))</f>
        <v>250180.38500000004</v>
      </c>
      <c r="D39" s="5">
        <f>(D36+D37+D38)*(1+IF(2029&gt;=$D$71,Revenue!$B$11,0))</f>
        <v>306712.25780000002</v>
      </c>
      <c r="E39" s="5">
        <f>(E36+E37+E38)*(1+IF(2030&gt;=$D$71,Revenue!$B$11,0))</f>
        <v>368745.60338400007</v>
      </c>
      <c r="F39" s="5">
        <f>(F36+F37+F38)*(1+IF(2031&gt;=$D$71,Revenue!$B$11,0))</f>
        <v>415860.29277152003</v>
      </c>
      <c r="G39" s="5">
        <f>(G36+G37+G38)*(1+IF(2032&gt;=$D$71,Revenue!$B$11,0))</f>
        <v>444940.42864106566</v>
      </c>
      <c r="H39" s="5">
        <f>(H36+H37+H38)*(1+IF(2033&gt;=$D$71,Revenue!$B$11,0))</f>
        <v>465393.53277809283</v>
      </c>
      <c r="I39" s="5">
        <f>(I36+I37+I38)*(1+IF(2034&gt;=$D$71,Revenue!$B$11,0))</f>
        <v>496654.17342044064</v>
      </c>
      <c r="J39" s="5">
        <f>(J36+J37+J38)*(1+IF(2035&gt;=$D$71,Revenue!$B$11,0))</f>
        <v>529097.83188111894</v>
      </c>
      <c r="K39" s="5">
        <f>(K36+K37+K38)*(1+IF(2036&gt;=$D$71,Revenue!$B$11,0))</f>
        <v>562791.10092257429</v>
      </c>
    </row>
    <row r="40" spans="1:11" ht="15" customHeight="1" x14ac:dyDescent="0.3">
      <c r="A40" s="4" t="s">
        <v>77</v>
      </c>
      <c r="B40" s="9">
        <f>'P&amp;L'!B20*$D$66+'P&amp;L'!B21+'P&amp;L'!B22*$D$67</f>
        <v>-153624.88500000001</v>
      </c>
      <c r="C40" s="9">
        <f>'P&amp;L'!C20*$D$66+'P&amp;L'!C21+'P&amp;L'!C22*$D$67</f>
        <v>-169557.53154999999</v>
      </c>
      <c r="D40" s="9">
        <f>'P&amp;L'!D20*$D$66+'P&amp;L'!D21+'P&amp;L'!D22*$D$67</f>
        <v>-185810.4024965</v>
      </c>
      <c r="E40" s="9">
        <f>'P&amp;L'!E20*$D$66+'P&amp;L'!E21+'P&amp;L'!E22*$D$67</f>
        <v>-243401.71775139499</v>
      </c>
      <c r="F40" s="9">
        <f>'P&amp;L'!F20*$D$66+'P&amp;L'!F21+'P&amp;L'!F22*$D$67</f>
        <v>-270350.76218433684</v>
      </c>
      <c r="G40" s="9">
        <f>'P&amp;L'!G20*$D$66+'P&amp;L'!G21+'P&amp;L'!G22*$D$67</f>
        <v>-280477.94870448299</v>
      </c>
      <c r="H40" s="9">
        <f>'P&amp;L'!H20*$D$66+'P&amp;L'!H21+'P&amp;L'!H22*$D$67</f>
        <v>-307116.88510330627</v>
      </c>
      <c r="I40" s="9">
        <f>'P&amp;L'!I20*$D$66+'P&amp;L'!I21+'P&amp;L'!I22*$D$67</f>
        <v>-319294.92488342733</v>
      </c>
      <c r="J40" s="9">
        <f>'P&amp;L'!J20*$D$66+'P&amp;L'!J21+'P&amp;L'!J22*$D$67</f>
        <v>-333040.94151190657</v>
      </c>
      <c r="K40" s="9">
        <f>'P&amp;L'!K20*$D$66+'P&amp;L'!K21+'P&amp;L'!K22*$D$67</f>
        <v>-347385.41511871864</v>
      </c>
    </row>
    <row r="41" spans="1:11" ht="15" customHeight="1" x14ac:dyDescent="0.3">
      <c r="A41" s="6" t="s">
        <v>69</v>
      </c>
      <c r="B41" s="5">
        <f t="shared" ref="B41:K41" si="6">B39+B40</f>
        <v>29782.739999999991</v>
      </c>
      <c r="C41" s="5">
        <f t="shared" si="6"/>
        <v>80622.853450000053</v>
      </c>
      <c r="D41" s="5">
        <f t="shared" si="6"/>
        <v>120901.85530350002</v>
      </c>
      <c r="E41" s="5">
        <f t="shared" si="6"/>
        <v>125343.88563260509</v>
      </c>
      <c r="F41" s="5">
        <f t="shared" si="6"/>
        <v>145509.5305871832</v>
      </c>
      <c r="G41" s="5">
        <f t="shared" si="6"/>
        <v>164462.47993658268</v>
      </c>
      <c r="H41" s="5">
        <f t="shared" si="6"/>
        <v>158276.64767478657</v>
      </c>
      <c r="I41" s="5">
        <f t="shared" si="6"/>
        <v>177359.24853701331</v>
      </c>
      <c r="J41" s="5">
        <f t="shared" si="6"/>
        <v>196056.89036921237</v>
      </c>
      <c r="K41" s="5">
        <f t="shared" si="6"/>
        <v>215405.68580385565</v>
      </c>
    </row>
    <row r="42" spans="1:11" ht="15" customHeight="1" x14ac:dyDescent="0.3">
      <c r="A42" s="4" t="s">
        <v>70</v>
      </c>
      <c r="B42" s="9">
        <f>IF(B41&gt;0,-B41*'P&amp;L'!$B$5,0)</f>
        <v>-3764.5383359999992</v>
      </c>
      <c r="C42" s="9">
        <f>IF(C41&gt;0,-C41*'P&amp;L'!$B$5,0)</f>
        <v>-10190.728676080007</v>
      </c>
      <c r="D42" s="9">
        <f>IF(D41&gt;0,-D41*'P&amp;L'!$B$5,0)</f>
        <v>-15281.994510362405</v>
      </c>
      <c r="E42" s="9">
        <f>IF(E41&gt;0,-E41*'P&amp;L'!$B$5,0)</f>
        <v>-15843.467143961285</v>
      </c>
      <c r="F42" s="9">
        <f>IF(F41&gt;0,-F41*'P&amp;L'!$B$5,0)</f>
        <v>-18392.404666219958</v>
      </c>
      <c r="G42" s="9">
        <f>IF(G41&gt;0,-G41*'P&amp;L'!$B$5,0)</f>
        <v>-20788.057463984052</v>
      </c>
      <c r="H42" s="9">
        <f>IF(H41&gt;0,-H41*'P&amp;L'!$B$5,0)</f>
        <v>-20006.168266093024</v>
      </c>
      <c r="I42" s="9">
        <f>IF(I41&gt;0,-I41*'P&amp;L'!$B$5,0)</f>
        <v>-22418.209015078482</v>
      </c>
      <c r="J42" s="9">
        <f>IF(J41&gt;0,-J41*'P&amp;L'!$B$5,0)</f>
        <v>-24781.590942668445</v>
      </c>
      <c r="K42" s="9">
        <f>IF(K41&gt;0,-K41*'P&amp;L'!$B$5,0)</f>
        <v>-27227.278685607358</v>
      </c>
    </row>
    <row r="43" spans="1:11" ht="15" customHeight="1" x14ac:dyDescent="0.3">
      <c r="A43" s="6" t="s">
        <v>71</v>
      </c>
      <c r="B43" s="5">
        <f t="shared" ref="B43:K43" si="7">B41+B42</f>
        <v>26018.201663999993</v>
      </c>
      <c r="C43" s="5">
        <f t="shared" si="7"/>
        <v>70432.124773920048</v>
      </c>
      <c r="D43" s="5">
        <f t="shared" si="7"/>
        <v>105619.86079313762</v>
      </c>
      <c r="E43" s="5">
        <f t="shared" si="7"/>
        <v>109500.4184886438</v>
      </c>
      <c r="F43" s="5">
        <f t="shared" si="7"/>
        <v>127117.12592096324</v>
      </c>
      <c r="G43" s="5">
        <f t="shared" si="7"/>
        <v>143674.42247259861</v>
      </c>
      <c r="H43" s="5">
        <f t="shared" si="7"/>
        <v>138270.47940869356</v>
      </c>
      <c r="I43" s="5">
        <f t="shared" si="7"/>
        <v>154941.03952193481</v>
      </c>
      <c r="J43" s="5">
        <f t="shared" si="7"/>
        <v>171275.29942654393</v>
      </c>
      <c r="K43" s="5">
        <f t="shared" si="7"/>
        <v>188178.40711824829</v>
      </c>
    </row>
    <row r="44" spans="1:11" ht="15" customHeight="1" x14ac:dyDescent="0.3">
      <c r="A44" s="6" t="s">
        <v>72</v>
      </c>
      <c r="B44" s="5">
        <f>'P&amp;L'!$B$6+B43</f>
        <v>46018.201663999993</v>
      </c>
      <c r="C44" s="5">
        <f t="shared" ref="C44:K44" si="8">B44+C43</f>
        <v>116450.32643792004</v>
      </c>
      <c r="D44" s="5">
        <f t="shared" si="8"/>
        <v>222070.18723105767</v>
      </c>
      <c r="E44" s="5">
        <f t="shared" si="8"/>
        <v>331570.6057197015</v>
      </c>
      <c r="F44" s="5">
        <f t="shared" si="8"/>
        <v>458687.73164066474</v>
      </c>
      <c r="G44" s="5">
        <f t="shared" si="8"/>
        <v>602362.15411326336</v>
      </c>
      <c r="H44" s="5">
        <f t="shared" si="8"/>
        <v>740632.63352195686</v>
      </c>
      <c r="I44" s="5">
        <f t="shared" si="8"/>
        <v>895573.67304389167</v>
      </c>
      <c r="J44" s="5">
        <f t="shared" si="8"/>
        <v>1066848.9724704355</v>
      </c>
      <c r="K44" s="11">
        <f t="shared" si="8"/>
        <v>1255027.3795886838</v>
      </c>
    </row>
    <row r="55" spans="1:11" ht="15" customHeight="1" x14ac:dyDescent="0.3">
      <c r="A55" s="19" t="s">
        <v>79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5" customHeight="1" x14ac:dyDescent="0.3">
      <c r="A56" s="20"/>
      <c r="B56" s="21" t="s">
        <v>57</v>
      </c>
      <c r="C56" s="21" t="s">
        <v>58</v>
      </c>
      <c r="D56" s="21" t="s">
        <v>59</v>
      </c>
      <c r="E56" s="20"/>
      <c r="F56" s="20"/>
      <c r="G56" s="20"/>
      <c r="H56" s="20"/>
      <c r="I56" s="20"/>
      <c r="J56" s="20"/>
      <c r="K56" s="20"/>
    </row>
    <row r="57" spans="1:1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5" customHeight="1" x14ac:dyDescent="0.3">
      <c r="A58" s="22" t="s">
        <v>80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5" customHeight="1" x14ac:dyDescent="0.3">
      <c r="A59" s="23" t="s">
        <v>81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5" customHeight="1" x14ac:dyDescent="0.3">
      <c r="A60" s="16" t="s">
        <v>82</v>
      </c>
      <c r="B60" s="24">
        <v>0.85</v>
      </c>
      <c r="C60" s="24">
        <v>1</v>
      </c>
      <c r="D60" s="24">
        <v>1</v>
      </c>
      <c r="E60" s="20"/>
      <c r="F60" s="20"/>
      <c r="G60" s="20"/>
      <c r="H60" s="20"/>
      <c r="I60" s="20"/>
      <c r="J60" s="20"/>
      <c r="K60" s="20"/>
    </row>
    <row r="61" spans="1:11" ht="15" customHeight="1" x14ac:dyDescent="0.3">
      <c r="A61" s="16" t="s">
        <v>83</v>
      </c>
      <c r="B61" s="25">
        <v>0.9</v>
      </c>
      <c r="C61" s="25">
        <v>1</v>
      </c>
      <c r="D61" s="25">
        <v>1.1000000000000001</v>
      </c>
      <c r="E61" s="20"/>
      <c r="F61" s="20"/>
      <c r="G61" s="20"/>
      <c r="H61" s="20"/>
      <c r="I61" s="20"/>
      <c r="J61" s="20"/>
      <c r="K61" s="20"/>
    </row>
    <row r="62" spans="1:11" ht="15" customHeight="1" x14ac:dyDescent="0.3">
      <c r="A62" s="16" t="s">
        <v>84</v>
      </c>
      <c r="B62" s="25">
        <v>0.6</v>
      </c>
      <c r="C62" s="25">
        <v>1</v>
      </c>
      <c r="D62" s="25">
        <v>1.4</v>
      </c>
      <c r="E62" s="20"/>
      <c r="F62" s="20"/>
      <c r="G62" s="20"/>
      <c r="H62" s="20"/>
      <c r="I62" s="20"/>
      <c r="J62" s="20"/>
      <c r="K62" s="20"/>
    </row>
    <row r="63" spans="1:11" x14ac:dyDescent="0.3">
      <c r="A63" s="16" t="s">
        <v>85</v>
      </c>
      <c r="B63" s="26">
        <v>0.75</v>
      </c>
      <c r="C63" s="26">
        <v>1</v>
      </c>
      <c r="D63" s="26">
        <v>1.25</v>
      </c>
      <c r="E63" s="20"/>
      <c r="F63" s="20"/>
      <c r="G63" s="20"/>
      <c r="H63" s="20"/>
      <c r="I63" s="20"/>
      <c r="J63" s="20"/>
      <c r="K63" s="20"/>
    </row>
    <row r="64" spans="1:11" ht="15" customHeight="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1" ht="15" customHeight="1" x14ac:dyDescent="0.3">
      <c r="A65" s="22" t="s">
        <v>86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spans="1:11" ht="15" customHeight="1" x14ac:dyDescent="0.3">
      <c r="A66" s="16" t="s">
        <v>87</v>
      </c>
      <c r="B66" s="26">
        <v>0.9</v>
      </c>
      <c r="C66" s="26">
        <v>1</v>
      </c>
      <c r="D66" s="26">
        <v>1</v>
      </c>
      <c r="E66" s="20"/>
      <c r="F66" s="20"/>
      <c r="G66" s="20"/>
      <c r="H66" s="20"/>
      <c r="I66" s="20"/>
      <c r="J66" s="20"/>
      <c r="K66" s="20"/>
    </row>
    <row r="67" spans="1:11" ht="15" customHeight="1" x14ac:dyDescent="0.3">
      <c r="A67" s="16" t="s">
        <v>88</v>
      </c>
      <c r="B67" s="26">
        <v>0.5</v>
      </c>
      <c r="C67" s="26">
        <v>1</v>
      </c>
      <c r="D67" s="26">
        <v>1</v>
      </c>
      <c r="E67" s="20"/>
      <c r="F67" s="20"/>
      <c r="G67" s="20"/>
      <c r="H67" s="20"/>
      <c r="I67" s="20"/>
      <c r="J67" s="20"/>
      <c r="K67" s="20"/>
    </row>
    <row r="68" spans="1:11" ht="15" customHeight="1" x14ac:dyDescent="0.3">
      <c r="A68" s="16" t="s">
        <v>89</v>
      </c>
      <c r="B68" s="26">
        <v>8000</v>
      </c>
      <c r="C68" s="20"/>
      <c r="D68" s="20"/>
      <c r="E68" s="20"/>
      <c r="F68" s="20"/>
      <c r="G68" s="20"/>
      <c r="H68" s="20"/>
      <c r="I68" s="20"/>
      <c r="J68" s="20"/>
      <c r="K68" s="20"/>
    </row>
    <row r="69" spans="1:11" ht="15" customHeight="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spans="1:11" ht="15" customHeight="1" x14ac:dyDescent="0.3">
      <c r="A70" s="22" t="s">
        <v>90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 spans="1:11" x14ac:dyDescent="0.3">
      <c r="A71" s="16" t="s">
        <v>91</v>
      </c>
      <c r="B71" s="26">
        <v>2029</v>
      </c>
      <c r="C71" s="26">
        <v>2027</v>
      </c>
      <c r="D71" s="26">
        <v>2027</v>
      </c>
      <c r="E71" s="20"/>
      <c r="F71" s="20"/>
      <c r="G71" s="20"/>
      <c r="H71" s="20"/>
      <c r="I71" s="20"/>
      <c r="J71" s="20"/>
      <c r="K71" s="20"/>
    </row>
    <row r="72" spans="1:1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1:11" x14ac:dyDescent="0.3">
      <c r="A73" s="27" t="s">
        <v>92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1:11" x14ac:dyDescent="0.3">
      <c r="A74" s="23" t="s">
        <v>93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 spans="1:11" x14ac:dyDescent="0.3">
      <c r="A75" s="23" t="s">
        <v>94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spans="1:11" x14ac:dyDescent="0.3">
      <c r="A76" s="23" t="s">
        <v>95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</row>
  </sheetData>
  <sheetProtection password="CC0B" sheet="1"/>
  <phoneticPr fontId="17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"/>
  <sheetViews>
    <sheetView zoomScaleNormal="100" workbookViewId="0">
      <pane xSplit="1" topLeftCell="B1" activePane="topRight" state="frozen"/>
      <selection pane="topRight" activeCell="C22" sqref="C22"/>
    </sheetView>
  </sheetViews>
  <sheetFormatPr defaultColWidth="8.6640625" defaultRowHeight="14.4" x14ac:dyDescent="0.3"/>
  <cols>
    <col min="1" max="1" width="42" customWidth="1"/>
    <col min="2" max="11" width="15" customWidth="1"/>
  </cols>
  <sheetData>
    <row r="1" spans="1:11" ht="17.399999999999999" customHeight="1" x14ac:dyDescent="0.3">
      <c r="A1" s="1" t="s">
        <v>181</v>
      </c>
    </row>
    <row r="3" spans="1:11" ht="15" customHeight="1" x14ac:dyDescent="0.3">
      <c r="A3" s="2" t="s">
        <v>182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5" customHeight="1" x14ac:dyDescent="0.3">
      <c r="A4" s="4" t="s">
        <v>183</v>
      </c>
      <c r="B4" s="30">
        <v>0.02</v>
      </c>
    </row>
    <row r="5" spans="1:11" ht="15" customHeight="1" x14ac:dyDescent="0.3">
      <c r="A5" s="4" t="s">
        <v>184</v>
      </c>
      <c r="B5" s="30">
        <v>0.12640000000000001</v>
      </c>
    </row>
    <row r="6" spans="1:11" ht="15" customHeight="1" x14ac:dyDescent="0.3">
      <c r="A6" s="4" t="s">
        <v>185</v>
      </c>
      <c r="B6" s="28">
        <v>20000</v>
      </c>
    </row>
    <row r="8" spans="1:11" ht="15" customHeight="1" x14ac:dyDescent="0.3">
      <c r="A8" s="2" t="s">
        <v>186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" customHeight="1" x14ac:dyDescent="0.3">
      <c r="A9" s="7"/>
      <c r="B9" s="8">
        <v>2027</v>
      </c>
      <c r="C9" s="8">
        <v>2028</v>
      </c>
      <c r="D9" s="8">
        <v>2029</v>
      </c>
      <c r="E9" s="8">
        <v>2030</v>
      </c>
      <c r="F9" s="8">
        <v>2031</v>
      </c>
      <c r="G9" s="8">
        <v>2032</v>
      </c>
      <c r="H9" s="8">
        <v>2033</v>
      </c>
      <c r="I9" s="8">
        <v>2034</v>
      </c>
      <c r="J9" s="8">
        <v>2035</v>
      </c>
      <c r="K9" s="8">
        <v>2036</v>
      </c>
    </row>
    <row r="10" spans="1:11" ht="15" customHeight="1" x14ac:dyDescent="0.3">
      <c r="A10" s="4" t="s">
        <v>187</v>
      </c>
      <c r="B10" s="9">
        <f>Revenue!B40</f>
        <v>55625</v>
      </c>
      <c r="C10" s="9">
        <f>Revenue!C40</f>
        <v>60075</v>
      </c>
      <c r="D10" s="9">
        <f>Revenue!D40</f>
        <v>64881</v>
      </c>
      <c r="E10" s="9">
        <f>Revenue!E40</f>
        <v>70071.48000000001</v>
      </c>
      <c r="F10" s="9">
        <f>Revenue!F40</f>
        <v>72874.339200000031</v>
      </c>
      <c r="G10" s="9">
        <f>Revenue!G40</f>
        <v>75789.312768000018</v>
      </c>
      <c r="H10" s="9">
        <f>Revenue!H40</f>
        <v>78820.885278720016</v>
      </c>
      <c r="I10" s="9">
        <f>Revenue!I40</f>
        <v>81973.720689868816</v>
      </c>
      <c r="J10" s="9">
        <f>Revenue!J40</f>
        <v>85252.669517463582</v>
      </c>
      <c r="K10" s="9">
        <f>Revenue!K40</f>
        <v>88662.776298162134</v>
      </c>
    </row>
    <row r="11" spans="1:11" ht="15" customHeight="1" x14ac:dyDescent="0.3">
      <c r="A11" s="4" t="s">
        <v>188</v>
      </c>
      <c r="B11" s="9">
        <f>Revenue!B56</f>
        <v>30000</v>
      </c>
      <c r="C11" s="9">
        <f>Revenue!C56</f>
        <v>55000</v>
      </c>
      <c r="D11" s="9">
        <f>Revenue!D56</f>
        <v>75000</v>
      </c>
      <c r="E11" s="9">
        <f>Revenue!E56</f>
        <v>95000</v>
      </c>
      <c r="F11" s="9">
        <f>Revenue!F56</f>
        <v>110000</v>
      </c>
      <c r="G11" s="9">
        <f>Revenue!G56</f>
        <v>116600</v>
      </c>
      <c r="H11" s="9">
        <f>Revenue!H56</f>
        <v>123596.00000000001</v>
      </c>
      <c r="I11" s="9">
        <f>Revenue!I56</f>
        <v>131011.76000000004</v>
      </c>
      <c r="J11" s="9">
        <f>Revenue!J56</f>
        <v>138872.46560000003</v>
      </c>
      <c r="K11" s="9">
        <f>Revenue!K56</f>
        <v>147204.81353600006</v>
      </c>
    </row>
    <row r="12" spans="1:11" ht="15" customHeight="1" x14ac:dyDescent="0.3">
      <c r="A12" s="4" t="s">
        <v>189</v>
      </c>
      <c r="B12" s="9">
        <f>Revenue!B61</f>
        <v>10000</v>
      </c>
      <c r="C12" s="9">
        <f>Revenue!C61</f>
        <v>12500</v>
      </c>
      <c r="D12" s="9">
        <f>Revenue!D61</f>
        <v>15000</v>
      </c>
      <c r="E12" s="9">
        <f>Revenue!E61</f>
        <v>20000</v>
      </c>
      <c r="F12" s="9">
        <f>Revenue!F61</f>
        <v>25000</v>
      </c>
      <c r="G12" s="9">
        <f>Revenue!G61</f>
        <v>30000</v>
      </c>
      <c r="H12" s="9">
        <f>Revenue!H61</f>
        <v>30000</v>
      </c>
      <c r="I12" s="9">
        <f>Revenue!I61</f>
        <v>35000</v>
      </c>
      <c r="J12" s="9">
        <f>Revenue!J61</f>
        <v>40000</v>
      </c>
      <c r="K12" s="9">
        <f>Revenue!K61</f>
        <v>45000</v>
      </c>
    </row>
    <row r="13" spans="1:11" ht="15" customHeight="1" x14ac:dyDescent="0.3">
      <c r="A13" s="4" t="s">
        <v>190</v>
      </c>
      <c r="B13" s="9">
        <f>Revenue!B98</f>
        <v>640</v>
      </c>
      <c r="C13" s="9">
        <f>Revenue!C98</f>
        <v>659.2</v>
      </c>
      <c r="D13" s="9">
        <f>Revenue!D98</f>
        <v>678.97600000000011</v>
      </c>
      <c r="E13" s="9">
        <f>Revenue!E98</f>
        <v>699.34528000000012</v>
      </c>
      <c r="F13" s="9">
        <f>Revenue!F98</f>
        <v>720.32563840000012</v>
      </c>
      <c r="G13" s="9">
        <f>Revenue!G98</f>
        <v>741.93540755200013</v>
      </c>
      <c r="H13" s="9">
        <f>Revenue!H98</f>
        <v>764.19346977856014</v>
      </c>
      <c r="I13" s="9">
        <f>Revenue!I98</f>
        <v>787.11927387191702</v>
      </c>
      <c r="J13" s="9">
        <f>Revenue!J98</f>
        <v>810.73285208807454</v>
      </c>
      <c r="K13" s="9">
        <f>Revenue!K98</f>
        <v>835.05483765071676</v>
      </c>
    </row>
    <row r="14" spans="1:11" ht="15" customHeight="1" x14ac:dyDescent="0.3">
      <c r="A14" s="4" t="s">
        <v>191</v>
      </c>
      <c r="B14" s="9">
        <f>Revenue!B102</f>
        <v>0</v>
      </c>
      <c r="C14" s="9">
        <f>Revenue!C102</f>
        <v>0</v>
      </c>
      <c r="D14" s="9">
        <f>Revenue!D102</f>
        <v>0</v>
      </c>
      <c r="E14" s="9">
        <f>Revenue!E102</f>
        <v>0</v>
      </c>
      <c r="F14" s="9">
        <f>Revenue!F102</f>
        <v>0</v>
      </c>
      <c r="G14" s="9">
        <f>Revenue!G102</f>
        <v>0</v>
      </c>
      <c r="H14" s="9">
        <f>Revenue!H102</f>
        <v>0</v>
      </c>
      <c r="I14" s="9">
        <f>Revenue!I102</f>
        <v>0</v>
      </c>
      <c r="J14" s="9">
        <f>Revenue!J102</f>
        <v>0</v>
      </c>
      <c r="K14" s="9">
        <f>Revenue!K102</f>
        <v>0</v>
      </c>
    </row>
    <row r="15" spans="1:11" ht="15" customHeight="1" x14ac:dyDescent="0.3">
      <c r="A15" s="4" t="s">
        <v>192</v>
      </c>
      <c r="B15" s="9">
        <f>Revenue!B107</f>
        <v>2000</v>
      </c>
      <c r="C15" s="9">
        <f>Revenue!C107</f>
        <v>2040</v>
      </c>
      <c r="D15" s="9">
        <f>Revenue!D107</f>
        <v>2080.8000000000002</v>
      </c>
      <c r="E15" s="9">
        <f>Revenue!E107</f>
        <v>2122.4160000000002</v>
      </c>
      <c r="F15" s="9">
        <f>Revenue!F107</f>
        <v>2164.8643200000001</v>
      </c>
      <c r="G15" s="9">
        <f>Revenue!G107</f>
        <v>2208.1616064</v>
      </c>
      <c r="H15" s="9">
        <f>Revenue!H107</f>
        <v>2252.3248385279999</v>
      </c>
      <c r="I15" s="9">
        <f>Revenue!I107</f>
        <v>2297.3713352985601</v>
      </c>
      <c r="J15" s="9">
        <f>Revenue!J107</f>
        <v>2343.3187620045314</v>
      </c>
      <c r="K15" s="9">
        <f>Revenue!K107</f>
        <v>2390.1851372446222</v>
      </c>
    </row>
    <row r="17" spans="1:11" ht="15" customHeight="1" x14ac:dyDescent="0.3">
      <c r="A17" s="6" t="s">
        <v>193</v>
      </c>
      <c r="B17" s="11">
        <f>Revenue!B114</f>
        <v>152310.75</v>
      </c>
      <c r="C17" s="11">
        <f>Revenue!C114</f>
        <v>201925.01</v>
      </c>
      <c r="D17" s="11">
        <f>Revenue!D114</f>
        <v>244343.20279999997</v>
      </c>
      <c r="E17" s="11">
        <f>Revenue!E114</f>
        <v>291234.52398400003</v>
      </c>
      <c r="F17" s="11">
        <f>Revenue!F114</f>
        <v>326677.27019552008</v>
      </c>
      <c r="G17" s="11">
        <f>Revenue!G114</f>
        <v>349276.08516202564</v>
      </c>
      <c r="H17" s="11">
        <f>Revenue!H114</f>
        <v>364921.77555989119</v>
      </c>
      <c r="I17" s="11">
        <f>Revenue!I114</f>
        <v>389158.45551351097</v>
      </c>
      <c r="J17" s="11">
        <f>Revenue!J114</f>
        <v>414282.73943391209</v>
      </c>
      <c r="K17" s="11">
        <f>Revenue!K114</f>
        <v>440343.88620403927</v>
      </c>
    </row>
    <row r="19" spans="1:11" ht="15" customHeight="1" x14ac:dyDescent="0.3">
      <c r="A19" s="2" t="s">
        <v>194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5" customHeight="1" x14ac:dyDescent="0.3">
      <c r="A20" s="4" t="s">
        <v>195</v>
      </c>
      <c r="B20" s="9">
        <f>-Cost!B49</f>
        <v>-135624.88500000001</v>
      </c>
      <c r="C20" s="9">
        <f>-Cost!C49</f>
        <v>-141557.53154999999</v>
      </c>
      <c r="D20" s="9">
        <f>-Cost!D49</f>
        <v>-147810.4024965</v>
      </c>
      <c r="E20" s="9">
        <f>-Cost!E49</f>
        <v>-154401.71775139499</v>
      </c>
      <c r="F20" s="9">
        <f>-Cost!F49</f>
        <v>-161350.76218433684</v>
      </c>
      <c r="G20" s="9">
        <f>-Cost!G49</f>
        <v>-168677.94870448299</v>
      </c>
      <c r="H20" s="9">
        <f>-Cost!H49</f>
        <v>-176404.88510330627</v>
      </c>
      <c r="I20" s="9">
        <f>-Cost!I49</f>
        <v>-184554.44488342735</v>
      </c>
      <c r="J20" s="9">
        <f>-Cost!J49</f>
        <v>-193150.84231190657</v>
      </c>
      <c r="K20" s="9">
        <f>-Cost!K49</f>
        <v>-202219.71195071866</v>
      </c>
    </row>
    <row r="21" spans="1:11" ht="15" customHeight="1" x14ac:dyDescent="0.3">
      <c r="A21" s="4" t="s">
        <v>196</v>
      </c>
      <c r="B21" s="9">
        <f>-Cost!B53</f>
        <v>-8000</v>
      </c>
      <c r="C21" s="9">
        <f>-Cost!C53</f>
        <v>-8000</v>
      </c>
      <c r="D21" s="9">
        <f>-Cost!D53</f>
        <v>-8000</v>
      </c>
      <c r="E21" s="9">
        <f>-Cost!E53</f>
        <v>-39000</v>
      </c>
      <c r="F21" s="9">
        <f>-Cost!F53</f>
        <v>-39000</v>
      </c>
      <c r="G21" s="9">
        <f>-Cost!G53</f>
        <v>-39000</v>
      </c>
      <c r="H21" s="9">
        <f>-Cost!H53</f>
        <v>-55000</v>
      </c>
      <c r="I21" s="9">
        <f>-Cost!I53</f>
        <v>-56000</v>
      </c>
      <c r="J21" s="9">
        <f>-Cost!J53</f>
        <v>-58000</v>
      </c>
      <c r="K21" s="9">
        <f>-Cost!K53</f>
        <v>-60000</v>
      </c>
    </row>
    <row r="22" spans="1:11" ht="15" customHeight="1" x14ac:dyDescent="0.3">
      <c r="A22" s="4" t="s">
        <v>197</v>
      </c>
      <c r="B22" s="9">
        <f>-Cost!B55</f>
        <v>-10000</v>
      </c>
      <c r="C22" s="9">
        <f>-Cost!C55</f>
        <v>-20000</v>
      </c>
      <c r="D22" s="9">
        <f>-Cost!D55</f>
        <v>-30000</v>
      </c>
      <c r="E22" s="9">
        <f>-Cost!E55</f>
        <v>-50000</v>
      </c>
      <c r="F22" s="9">
        <f>-Cost!F55</f>
        <v>-70000</v>
      </c>
      <c r="G22" s="9">
        <f>-Cost!G55</f>
        <v>-72800</v>
      </c>
      <c r="H22" s="9">
        <f>-Cost!H55</f>
        <v>-75712</v>
      </c>
      <c r="I22" s="9">
        <f>-Cost!I55</f>
        <v>-78740.479999999996</v>
      </c>
      <c r="J22" s="9">
        <f>-Cost!J55</f>
        <v>-81890.099199999997</v>
      </c>
      <c r="K22" s="9">
        <f>-Cost!K55</f>
        <v>-85165.703167999993</v>
      </c>
    </row>
    <row r="24" spans="1:11" ht="15" customHeight="1" x14ac:dyDescent="0.3">
      <c r="A24" s="6" t="s">
        <v>198</v>
      </c>
      <c r="B24" s="11">
        <f t="shared" ref="B24:K24" si="0">B20+B21+B22</f>
        <v>-153624.88500000001</v>
      </c>
      <c r="C24" s="11">
        <f t="shared" si="0"/>
        <v>-169557.53154999999</v>
      </c>
      <c r="D24" s="11">
        <f t="shared" si="0"/>
        <v>-185810.4024965</v>
      </c>
      <c r="E24" s="11">
        <f t="shared" si="0"/>
        <v>-243401.71775139499</v>
      </c>
      <c r="F24" s="11">
        <f t="shared" si="0"/>
        <v>-270350.76218433684</v>
      </c>
      <c r="G24" s="11">
        <f t="shared" si="0"/>
        <v>-280477.94870448299</v>
      </c>
      <c r="H24" s="11">
        <f t="shared" si="0"/>
        <v>-307116.88510330627</v>
      </c>
      <c r="I24" s="11">
        <f t="shared" si="0"/>
        <v>-319294.92488342733</v>
      </c>
      <c r="J24" s="11">
        <f t="shared" si="0"/>
        <v>-333040.94151190657</v>
      </c>
      <c r="K24" s="11">
        <f t="shared" si="0"/>
        <v>-347385.41511871864</v>
      </c>
    </row>
    <row r="26" spans="1:11" ht="15" customHeight="1" x14ac:dyDescent="0.3">
      <c r="A26" s="2" t="s">
        <v>199</v>
      </c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" customHeight="1" x14ac:dyDescent="0.3">
      <c r="A27" s="6" t="s">
        <v>69</v>
      </c>
      <c r="B27" s="5">
        <f t="shared" ref="B27:K27" si="1">B17+B24</f>
        <v>-1314.1350000000093</v>
      </c>
      <c r="C27" s="5">
        <f t="shared" si="1"/>
        <v>32367.478450000024</v>
      </c>
      <c r="D27" s="5">
        <f t="shared" si="1"/>
        <v>58532.800303499971</v>
      </c>
      <c r="E27" s="5">
        <f t="shared" si="1"/>
        <v>47832.806232605042</v>
      </c>
      <c r="F27" s="5">
        <f t="shared" si="1"/>
        <v>56326.508011183236</v>
      </c>
      <c r="G27" s="5">
        <f t="shared" si="1"/>
        <v>68798.136457542656</v>
      </c>
      <c r="H27" s="5">
        <f t="shared" si="1"/>
        <v>57804.890456584923</v>
      </c>
      <c r="I27" s="5">
        <f t="shared" si="1"/>
        <v>69863.530630083638</v>
      </c>
      <c r="J27" s="5">
        <f t="shared" si="1"/>
        <v>81241.797922005528</v>
      </c>
      <c r="K27" s="5">
        <f t="shared" si="1"/>
        <v>92958.471085320634</v>
      </c>
    </row>
    <row r="28" spans="1:11" ht="15" customHeight="1" x14ac:dyDescent="0.3">
      <c r="A28" s="4" t="s">
        <v>70</v>
      </c>
      <c r="B28" s="9">
        <f t="shared" ref="B28:K28" si="2">IF(B27&gt;0,-B27*$B$5,0)</f>
        <v>0</v>
      </c>
      <c r="C28" s="9">
        <f t="shared" si="2"/>
        <v>-4091.2492760800033</v>
      </c>
      <c r="D28" s="9">
        <f t="shared" si="2"/>
        <v>-7398.545958362397</v>
      </c>
      <c r="E28" s="9">
        <f t="shared" si="2"/>
        <v>-6046.0667078012775</v>
      </c>
      <c r="F28" s="9">
        <f t="shared" si="2"/>
        <v>-7119.6706126135614</v>
      </c>
      <c r="G28" s="9">
        <f t="shared" si="2"/>
        <v>-8696.0844482333923</v>
      </c>
      <c r="H28" s="9">
        <f t="shared" si="2"/>
        <v>-7306.5381537123349</v>
      </c>
      <c r="I28" s="9">
        <f t="shared" si="2"/>
        <v>-8830.7502716425734</v>
      </c>
      <c r="J28" s="9">
        <f t="shared" si="2"/>
        <v>-10268.9632573415</v>
      </c>
      <c r="K28" s="9">
        <f t="shared" si="2"/>
        <v>-11749.950745184529</v>
      </c>
    </row>
    <row r="29" spans="1:11" ht="15" customHeight="1" x14ac:dyDescent="0.3">
      <c r="A29" s="6" t="s">
        <v>200</v>
      </c>
      <c r="B29" s="11">
        <f t="shared" ref="B29:K29" si="3">B27+B28</f>
        <v>-1314.1350000000093</v>
      </c>
      <c r="C29" s="11">
        <f t="shared" si="3"/>
        <v>28276.229173920023</v>
      </c>
      <c r="D29" s="11">
        <f t="shared" si="3"/>
        <v>51134.254345137575</v>
      </c>
      <c r="E29" s="11">
        <f t="shared" si="3"/>
        <v>41786.739524803765</v>
      </c>
      <c r="F29" s="11">
        <f t="shared" si="3"/>
        <v>49206.837398569674</v>
      </c>
      <c r="G29" s="11">
        <f t="shared" si="3"/>
        <v>60102.052009309264</v>
      </c>
      <c r="H29" s="11">
        <f t="shared" si="3"/>
        <v>50498.35230287259</v>
      </c>
      <c r="I29" s="11">
        <f t="shared" si="3"/>
        <v>61032.780358441065</v>
      </c>
      <c r="J29" s="11">
        <f t="shared" si="3"/>
        <v>70972.834664664028</v>
      </c>
      <c r="K29" s="11">
        <f t="shared" si="3"/>
        <v>81208.520340136107</v>
      </c>
    </row>
    <row r="30" spans="1:11" ht="15" customHeight="1" x14ac:dyDescent="0.3">
      <c r="A30" s="6" t="s">
        <v>201</v>
      </c>
      <c r="B30" s="5">
        <f>$B$6+B29</f>
        <v>18685.864999999991</v>
      </c>
      <c r="C30" s="5">
        <f t="shared" ref="C30:K30" si="4">B30+C29</f>
        <v>46962.094173920013</v>
      </c>
      <c r="D30" s="5">
        <f t="shared" si="4"/>
        <v>98096.348519057588</v>
      </c>
      <c r="E30" s="5">
        <f t="shared" si="4"/>
        <v>139883.08804386135</v>
      </c>
      <c r="F30" s="5">
        <f t="shared" si="4"/>
        <v>189089.92544243103</v>
      </c>
      <c r="G30" s="5">
        <f t="shared" si="4"/>
        <v>249191.9774517403</v>
      </c>
      <c r="H30" s="5">
        <f t="shared" si="4"/>
        <v>299690.32975461287</v>
      </c>
      <c r="I30" s="5">
        <f t="shared" si="4"/>
        <v>360723.11011305393</v>
      </c>
      <c r="J30" s="5">
        <f t="shared" si="4"/>
        <v>431695.94477771793</v>
      </c>
      <c r="K30" s="5">
        <f t="shared" si="4"/>
        <v>512904.46511785407</v>
      </c>
    </row>
  </sheetData>
  <sheetProtection password="CC0B" sheet="1"/>
  <phoneticPr fontId="17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4"/>
  <sheetViews>
    <sheetView tabSelected="1" topLeftCell="A35" zoomScale="85" zoomScaleNormal="100" workbookViewId="0">
      <pane xSplit="1" topLeftCell="B1" activePane="topRight" state="frozen"/>
      <selection pane="topRight" activeCell="C92" sqref="C92"/>
    </sheetView>
  </sheetViews>
  <sheetFormatPr defaultColWidth="8.6640625" defaultRowHeight="14.4" x14ac:dyDescent="0.3"/>
  <cols>
    <col min="1" max="1" width="42" customWidth="1"/>
    <col min="2" max="11" width="15" customWidth="1"/>
  </cols>
  <sheetData>
    <row r="1" spans="1:11" ht="17.399999999999999" customHeight="1" x14ac:dyDescent="0.3">
      <c r="A1" s="1" t="s">
        <v>96</v>
      </c>
    </row>
    <row r="3" spans="1:11" ht="15" customHeight="1" x14ac:dyDescent="0.3">
      <c r="A3" s="19" t="s">
        <v>97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5" customHeight="1" x14ac:dyDescent="0.3">
      <c r="A4" s="4" t="s">
        <v>98</v>
      </c>
      <c r="B4" s="28">
        <v>280</v>
      </c>
    </row>
    <row r="5" spans="1:11" ht="15" customHeight="1" x14ac:dyDescent="0.3">
      <c r="A5" s="4" t="s">
        <v>99</v>
      </c>
      <c r="B5" s="28">
        <v>250</v>
      </c>
    </row>
    <row r="6" spans="1:11" ht="15" customHeight="1" x14ac:dyDescent="0.3">
      <c r="A6" s="4" t="s">
        <v>100</v>
      </c>
      <c r="B6" s="29">
        <v>0.89</v>
      </c>
    </row>
    <row r="7" spans="1:11" ht="15" customHeight="1" x14ac:dyDescent="0.3">
      <c r="A7" s="4" t="s">
        <v>101</v>
      </c>
      <c r="B7" s="30">
        <v>0.08</v>
      </c>
    </row>
    <row r="8" spans="1:11" ht="15" customHeight="1" x14ac:dyDescent="0.3">
      <c r="A8" s="4" t="s">
        <v>102</v>
      </c>
      <c r="B8" s="30">
        <v>0.04</v>
      </c>
    </row>
    <row r="9" spans="1:11" ht="15" customHeight="1" x14ac:dyDescent="0.3">
      <c r="A9" s="4" t="s">
        <v>103</v>
      </c>
      <c r="B9" s="30">
        <v>0.03</v>
      </c>
    </row>
    <row r="10" spans="1:11" ht="15" customHeight="1" x14ac:dyDescent="0.3">
      <c r="A10" s="4" t="s">
        <v>104</v>
      </c>
      <c r="B10" s="30">
        <v>0.06</v>
      </c>
    </row>
    <row r="11" spans="1:11" ht="15" customHeight="1" x14ac:dyDescent="0.3">
      <c r="A11" s="4" t="s">
        <v>105</v>
      </c>
      <c r="B11" s="29">
        <v>0.55000000000000004</v>
      </c>
    </row>
    <row r="12" spans="1:11" ht="15" customHeight="1" x14ac:dyDescent="0.3">
      <c r="A12" s="4" t="s">
        <v>106</v>
      </c>
      <c r="B12" s="29">
        <v>0.5</v>
      </c>
    </row>
    <row r="13" spans="1:11" ht="15" customHeight="1" x14ac:dyDescent="0.3">
      <c r="A13" s="4" t="s">
        <v>91</v>
      </c>
      <c r="B13" s="31">
        <v>2027</v>
      </c>
    </row>
    <row r="15" spans="1:11" ht="15" customHeight="1" x14ac:dyDescent="0.3">
      <c r="A15" s="2" t="s">
        <v>107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" customHeight="1" x14ac:dyDescent="0.3">
      <c r="A16" s="4" t="s">
        <v>108</v>
      </c>
    </row>
    <row r="17" spans="1:11" ht="15" customHeight="1" x14ac:dyDescent="0.3">
      <c r="A17" s="4" t="s">
        <v>109</v>
      </c>
      <c r="B17" s="30">
        <v>0.28000000000000003</v>
      </c>
    </row>
    <row r="18" spans="1:11" ht="15" customHeight="1" x14ac:dyDescent="0.3">
      <c r="A18" s="4" t="s">
        <v>110</v>
      </c>
      <c r="B18" s="30">
        <v>0.44</v>
      </c>
    </row>
    <row r="19" spans="1:11" ht="15" customHeight="1" x14ac:dyDescent="0.3">
      <c r="A19" s="4" t="s">
        <v>111</v>
      </c>
      <c r="B19" s="30">
        <v>0.28000000000000003</v>
      </c>
    </row>
    <row r="21" spans="1:11" ht="15" customHeight="1" x14ac:dyDescent="0.3">
      <c r="A21" s="4" t="s">
        <v>112</v>
      </c>
    </row>
    <row r="22" spans="1:11" ht="15" customHeight="1" x14ac:dyDescent="0.3">
      <c r="A22" s="4" t="s">
        <v>113</v>
      </c>
      <c r="B22" s="28">
        <v>210</v>
      </c>
    </row>
    <row r="23" spans="1:11" ht="15" customHeight="1" x14ac:dyDescent="0.3">
      <c r="A23" s="4" t="s">
        <v>114</v>
      </c>
      <c r="B23" s="28">
        <v>250</v>
      </c>
    </row>
    <row r="24" spans="1:11" ht="15" customHeight="1" x14ac:dyDescent="0.3">
      <c r="A24" s="4" t="s">
        <v>115</v>
      </c>
      <c r="B24" s="28">
        <v>290</v>
      </c>
    </row>
    <row r="26" spans="1:11" ht="15" customHeight="1" x14ac:dyDescent="0.3">
      <c r="A26" s="6" t="s">
        <v>116</v>
      </c>
    </row>
    <row r="27" spans="1:11" ht="15" customHeight="1" x14ac:dyDescent="0.3">
      <c r="A27" s="7"/>
      <c r="B27" s="8">
        <v>2027</v>
      </c>
      <c r="C27" s="8">
        <v>2028</v>
      </c>
      <c r="D27" s="8">
        <v>2029</v>
      </c>
      <c r="E27" s="8">
        <v>2030</v>
      </c>
      <c r="F27" s="8">
        <v>2031</v>
      </c>
      <c r="G27" s="8">
        <v>2032</v>
      </c>
      <c r="H27" s="8">
        <v>2033</v>
      </c>
      <c r="I27" s="8">
        <v>2034</v>
      </c>
      <c r="J27" s="8">
        <v>2035</v>
      </c>
      <c r="K27" s="8">
        <v>2036</v>
      </c>
    </row>
    <row r="28" spans="1:11" ht="15" customHeight="1" x14ac:dyDescent="0.3">
      <c r="A28" s="4" t="s">
        <v>117</v>
      </c>
      <c r="B28" s="9">
        <f t="shared" ref="B28:K28" si="0">ROUND($B$5*$B$17,0)</f>
        <v>70</v>
      </c>
      <c r="C28" s="9">
        <f t="shared" si="0"/>
        <v>70</v>
      </c>
      <c r="D28" s="9">
        <f t="shared" si="0"/>
        <v>70</v>
      </c>
      <c r="E28" s="9">
        <f t="shared" si="0"/>
        <v>70</v>
      </c>
      <c r="F28" s="9">
        <f t="shared" si="0"/>
        <v>70</v>
      </c>
      <c r="G28" s="9">
        <f t="shared" si="0"/>
        <v>70</v>
      </c>
      <c r="H28" s="9">
        <f t="shared" si="0"/>
        <v>70</v>
      </c>
      <c r="I28" s="9">
        <f t="shared" si="0"/>
        <v>70</v>
      </c>
      <c r="J28" s="9">
        <f t="shared" si="0"/>
        <v>70</v>
      </c>
      <c r="K28" s="9">
        <f t="shared" si="0"/>
        <v>70</v>
      </c>
    </row>
    <row r="29" spans="1:11" ht="15" customHeight="1" x14ac:dyDescent="0.3">
      <c r="A29" s="4" t="s">
        <v>118</v>
      </c>
      <c r="B29" s="9">
        <f t="shared" ref="B29:K29" si="1">ROUND($B$5*$B$18,0)</f>
        <v>110</v>
      </c>
      <c r="C29" s="9">
        <f t="shared" si="1"/>
        <v>110</v>
      </c>
      <c r="D29" s="9">
        <f t="shared" si="1"/>
        <v>110</v>
      </c>
      <c r="E29" s="9">
        <f t="shared" si="1"/>
        <v>110</v>
      </c>
      <c r="F29" s="9">
        <f t="shared" si="1"/>
        <v>110</v>
      </c>
      <c r="G29" s="9">
        <f t="shared" si="1"/>
        <v>110</v>
      </c>
      <c r="H29" s="9">
        <f t="shared" si="1"/>
        <v>110</v>
      </c>
      <c r="I29" s="9">
        <f t="shared" si="1"/>
        <v>110</v>
      </c>
      <c r="J29" s="9">
        <f t="shared" si="1"/>
        <v>110</v>
      </c>
      <c r="K29" s="9">
        <f t="shared" si="1"/>
        <v>110</v>
      </c>
    </row>
    <row r="30" spans="1:11" ht="15" customHeight="1" x14ac:dyDescent="0.3">
      <c r="A30" s="4" t="s">
        <v>119</v>
      </c>
      <c r="B30" s="9">
        <f t="shared" ref="B30:K30" si="2">ROUND($B$5*$B$19,0)</f>
        <v>70</v>
      </c>
      <c r="C30" s="9">
        <f t="shared" si="2"/>
        <v>70</v>
      </c>
      <c r="D30" s="9">
        <f t="shared" si="2"/>
        <v>70</v>
      </c>
      <c r="E30" s="9">
        <f t="shared" si="2"/>
        <v>70</v>
      </c>
      <c r="F30" s="9">
        <f t="shared" si="2"/>
        <v>70</v>
      </c>
      <c r="G30" s="9">
        <f t="shared" si="2"/>
        <v>70</v>
      </c>
      <c r="H30" s="9">
        <f t="shared" si="2"/>
        <v>70</v>
      </c>
      <c r="I30" s="9">
        <f t="shared" si="2"/>
        <v>70</v>
      </c>
      <c r="J30" s="9">
        <f t="shared" si="2"/>
        <v>70</v>
      </c>
      <c r="K30" s="9">
        <f t="shared" si="2"/>
        <v>70</v>
      </c>
    </row>
    <row r="32" spans="1:11" ht="15" customHeight="1" x14ac:dyDescent="0.3">
      <c r="A32" s="4" t="s">
        <v>120</v>
      </c>
      <c r="B32" s="9">
        <f>$B$22</f>
        <v>210</v>
      </c>
      <c r="C32" s="9">
        <f>IF(2028&lt;=2030,B32*(1+$B$7),B32*(1+$B$8))</f>
        <v>226.8</v>
      </c>
      <c r="D32" s="9">
        <f>IF(2029&lt;=2030,C32*(1+$B$7),C32*(1+$B$8))</f>
        <v>244.94400000000002</v>
      </c>
      <c r="E32" s="9">
        <f>IF(2030&lt;=2030,D32*(1+$B$7),D32*(1+$B$8))</f>
        <v>264.53952000000004</v>
      </c>
      <c r="F32" s="9">
        <f>IF(2031&lt;=2030,E32*(1+$B$7),E32*(1+$B$8))</f>
        <v>275.12110080000002</v>
      </c>
      <c r="G32" s="9">
        <f>IF(2032&lt;=2030,F32*(1+$B$7),F32*(1+$B$8))</f>
        <v>286.12594483200002</v>
      </c>
      <c r="H32" s="9">
        <f>IF(2033&lt;=2030,G32*(1+$B$7),G32*(1+$B$8))</f>
        <v>297.57098262528001</v>
      </c>
      <c r="I32" s="9">
        <f>IF(2034&lt;=2030,H32*(1+$B$7),H32*(1+$B$8))</f>
        <v>309.47382193029119</v>
      </c>
      <c r="J32" s="9">
        <f>IF(2035&lt;=2030,I32*(1+$B$7),I32*(1+$B$8))</f>
        <v>321.85277480750284</v>
      </c>
      <c r="K32" s="9">
        <f>IF(2036&lt;=2030,J32*(1+$B$7),J32*(1+$B$8))</f>
        <v>334.72688579980297</v>
      </c>
    </row>
    <row r="33" spans="1:11" ht="15" customHeight="1" x14ac:dyDescent="0.3">
      <c r="A33" s="4" t="s">
        <v>121</v>
      </c>
      <c r="B33" s="9">
        <f>$B$23</f>
        <v>250</v>
      </c>
      <c r="C33" s="9">
        <f>IF(2028&lt;=2030,B33*(1+$B$7),B33*(1+$B$8))</f>
        <v>270</v>
      </c>
      <c r="D33" s="9">
        <f>IF(2029&lt;=2030,C33*(1+$B$7),C33*(1+$B$8))</f>
        <v>291.60000000000002</v>
      </c>
      <c r="E33" s="9">
        <f>IF(2030&lt;=2030,D33*(1+$B$7),D33*(1+$B$8))</f>
        <v>314.92800000000005</v>
      </c>
      <c r="F33" s="9">
        <f>IF(2031&lt;=2030,E33*(1+$B$7),E33*(1+$B$8))</f>
        <v>327.52512000000007</v>
      </c>
      <c r="G33" s="9">
        <f>IF(2032&lt;=2030,F33*(1+$B$7),F33*(1+$B$8))</f>
        <v>340.62612480000007</v>
      </c>
      <c r="H33" s="9">
        <f>IF(2033&lt;=2030,G33*(1+$B$7),G33*(1+$B$8))</f>
        <v>354.2511697920001</v>
      </c>
      <c r="I33" s="9">
        <f>IF(2034&lt;=2030,H33*(1+$B$7),H33*(1+$B$8))</f>
        <v>368.42121658368012</v>
      </c>
      <c r="J33" s="9">
        <f>IF(2035&lt;=2030,I33*(1+$B$7),I33*(1+$B$8))</f>
        <v>383.15806524702737</v>
      </c>
      <c r="K33" s="9">
        <f>IF(2036&lt;=2030,J33*(1+$B$7),J33*(1+$B$8))</f>
        <v>398.48438785690848</v>
      </c>
    </row>
    <row r="34" spans="1:11" ht="15" customHeight="1" x14ac:dyDescent="0.3">
      <c r="A34" s="4" t="s">
        <v>122</v>
      </c>
      <c r="B34" s="9">
        <f>$B$24</f>
        <v>290</v>
      </c>
      <c r="C34" s="9">
        <f>IF(2028&lt;=2030,B34*(1+$B$7),B34*(1+$B$8))</f>
        <v>313.20000000000005</v>
      </c>
      <c r="D34" s="9">
        <f>IF(2029&lt;=2030,C34*(1+$B$7),C34*(1+$B$8))</f>
        <v>338.25600000000009</v>
      </c>
      <c r="E34" s="9">
        <f>IF(2030&lt;=2030,D34*(1+$B$7),D34*(1+$B$8))</f>
        <v>365.31648000000013</v>
      </c>
      <c r="F34" s="9">
        <f>IF(2031&lt;=2030,E34*(1+$B$7),E34*(1+$B$8))</f>
        <v>379.92913920000012</v>
      </c>
      <c r="G34" s="9">
        <f>IF(2032&lt;=2030,F34*(1+$B$7),F34*(1+$B$8))</f>
        <v>395.12630476800013</v>
      </c>
      <c r="H34" s="9">
        <f>IF(2033&lt;=2030,G34*(1+$B$7),G34*(1+$B$8))</f>
        <v>410.93135695872013</v>
      </c>
      <c r="I34" s="9">
        <f>IF(2034&lt;=2030,H34*(1+$B$7),H34*(1+$B$8))</f>
        <v>427.36861123706893</v>
      </c>
      <c r="J34" s="9">
        <f>IF(2035&lt;=2030,I34*(1+$B$7),I34*(1+$B$8))</f>
        <v>444.46335568655172</v>
      </c>
      <c r="K34" s="9">
        <f>IF(2036&lt;=2030,J34*(1+$B$7),J34*(1+$B$8))</f>
        <v>462.24188991401383</v>
      </c>
    </row>
    <row r="36" spans="1:11" ht="15" customHeight="1" x14ac:dyDescent="0.3">
      <c r="A36" s="4" t="s">
        <v>123</v>
      </c>
      <c r="B36" s="9">
        <f t="shared" ref="B36:K36" si="3">B28*B32</f>
        <v>14700</v>
      </c>
      <c r="C36" s="9">
        <f t="shared" si="3"/>
        <v>15876</v>
      </c>
      <c r="D36" s="9">
        <f t="shared" si="3"/>
        <v>17146.080000000002</v>
      </c>
      <c r="E36" s="9">
        <f t="shared" si="3"/>
        <v>18517.766400000004</v>
      </c>
      <c r="F36" s="9">
        <f t="shared" si="3"/>
        <v>19258.477056000003</v>
      </c>
      <c r="G36" s="9">
        <f t="shared" si="3"/>
        <v>20028.816138239999</v>
      </c>
      <c r="H36" s="9">
        <f t="shared" si="3"/>
        <v>20829.9687837696</v>
      </c>
      <c r="I36" s="9">
        <f t="shared" si="3"/>
        <v>21663.167535120385</v>
      </c>
      <c r="J36" s="9">
        <f t="shared" si="3"/>
        <v>22529.6942365252</v>
      </c>
      <c r="K36" s="9">
        <f t="shared" si="3"/>
        <v>23430.882005986208</v>
      </c>
    </row>
    <row r="37" spans="1:11" ht="15" customHeight="1" x14ac:dyDescent="0.3">
      <c r="A37" s="4" t="s">
        <v>124</v>
      </c>
      <c r="B37" s="9">
        <f t="shared" ref="B37:K37" si="4">B29*B33</f>
        <v>27500</v>
      </c>
      <c r="C37" s="9">
        <f t="shared" si="4"/>
        <v>29700</v>
      </c>
      <c r="D37" s="9">
        <f t="shared" si="4"/>
        <v>32076.000000000004</v>
      </c>
      <c r="E37" s="9">
        <f t="shared" si="4"/>
        <v>34642.080000000009</v>
      </c>
      <c r="F37" s="9">
        <f t="shared" si="4"/>
        <v>36027.763200000009</v>
      </c>
      <c r="G37" s="9">
        <f t="shared" si="4"/>
        <v>37468.873728000006</v>
      </c>
      <c r="H37" s="9">
        <f t="shared" si="4"/>
        <v>38967.62867712001</v>
      </c>
      <c r="I37" s="9">
        <f t="shared" si="4"/>
        <v>40526.333824204812</v>
      </c>
      <c r="J37" s="9">
        <f t="shared" si="4"/>
        <v>42147.387177173012</v>
      </c>
      <c r="K37" s="9">
        <f t="shared" si="4"/>
        <v>43833.282664259932</v>
      </c>
    </row>
    <row r="38" spans="1:11" ht="15" customHeight="1" x14ac:dyDescent="0.3">
      <c r="A38" s="4" t="s">
        <v>125</v>
      </c>
      <c r="B38" s="9">
        <f t="shared" ref="B38:K38" si="5">B30*B34</f>
        <v>20300</v>
      </c>
      <c r="C38" s="9">
        <f t="shared" si="5"/>
        <v>21924.000000000004</v>
      </c>
      <c r="D38" s="9">
        <f t="shared" si="5"/>
        <v>23677.920000000006</v>
      </c>
      <c r="E38" s="9">
        <f t="shared" si="5"/>
        <v>25572.153600000009</v>
      </c>
      <c r="F38" s="9">
        <f t="shared" si="5"/>
        <v>26595.039744000009</v>
      </c>
      <c r="G38" s="9">
        <f t="shared" si="5"/>
        <v>27658.84133376001</v>
      </c>
      <c r="H38" s="9">
        <f t="shared" si="5"/>
        <v>28765.194987110408</v>
      </c>
      <c r="I38" s="9">
        <f t="shared" si="5"/>
        <v>29915.802786594824</v>
      </c>
      <c r="J38" s="9">
        <f t="shared" si="5"/>
        <v>31112.434898058622</v>
      </c>
      <c r="K38" s="9">
        <f t="shared" si="5"/>
        <v>32356.932293980968</v>
      </c>
    </row>
    <row r="39" spans="1:11" ht="15" customHeight="1" x14ac:dyDescent="0.3">
      <c r="A39" s="6" t="s">
        <v>126</v>
      </c>
      <c r="B39" s="11">
        <f t="shared" ref="B39:K39" si="6">B36+B37+B38</f>
        <v>62500</v>
      </c>
      <c r="C39" s="11">
        <f t="shared" si="6"/>
        <v>67500</v>
      </c>
      <c r="D39" s="11">
        <f t="shared" si="6"/>
        <v>72900</v>
      </c>
      <c r="E39" s="11">
        <f t="shared" si="6"/>
        <v>78732.000000000015</v>
      </c>
      <c r="F39" s="11">
        <f t="shared" si="6"/>
        <v>81881.280000000028</v>
      </c>
      <c r="G39" s="11">
        <f t="shared" si="6"/>
        <v>85156.531200000012</v>
      </c>
      <c r="H39" s="11">
        <f t="shared" si="6"/>
        <v>88562.792448000022</v>
      </c>
      <c r="I39" s="11">
        <f t="shared" si="6"/>
        <v>92105.304145920018</v>
      </c>
      <c r="J39" s="11">
        <f t="shared" si="6"/>
        <v>95789.51631175683</v>
      </c>
      <c r="K39" s="11">
        <f t="shared" si="6"/>
        <v>99621.096964227108</v>
      </c>
    </row>
    <row r="40" spans="1:11" ht="15" customHeight="1" x14ac:dyDescent="0.3">
      <c r="A40" s="6" t="s">
        <v>127</v>
      </c>
      <c r="B40" s="5">
        <f t="shared" ref="B40:K40" si="7">B39*$B$6</f>
        <v>55625</v>
      </c>
      <c r="C40" s="5">
        <f t="shared" si="7"/>
        <v>60075</v>
      </c>
      <c r="D40" s="5">
        <f t="shared" si="7"/>
        <v>64881</v>
      </c>
      <c r="E40" s="5">
        <f t="shared" si="7"/>
        <v>70071.48000000001</v>
      </c>
      <c r="F40" s="5">
        <f t="shared" si="7"/>
        <v>72874.339200000031</v>
      </c>
      <c r="G40" s="5">
        <f t="shared" si="7"/>
        <v>75789.312768000018</v>
      </c>
      <c r="H40" s="5">
        <f t="shared" si="7"/>
        <v>78820.885278720016</v>
      </c>
      <c r="I40" s="5">
        <f t="shared" si="7"/>
        <v>81973.720689868816</v>
      </c>
      <c r="J40" s="5">
        <f t="shared" si="7"/>
        <v>85252.669517463582</v>
      </c>
      <c r="K40" s="5">
        <f t="shared" si="7"/>
        <v>88662.776298162134</v>
      </c>
    </row>
    <row r="42" spans="1:11" ht="15" customHeight="1" x14ac:dyDescent="0.3">
      <c r="A42" s="2" t="s">
        <v>128</v>
      </c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5" customHeight="1" x14ac:dyDescent="0.3">
      <c r="A43" s="7"/>
      <c r="B43" s="8">
        <v>2027</v>
      </c>
      <c r="C43" s="8">
        <v>2028</v>
      </c>
      <c r="D43" s="8">
        <v>2029</v>
      </c>
      <c r="E43" s="8">
        <v>2030</v>
      </c>
      <c r="F43" s="8">
        <v>2031</v>
      </c>
      <c r="G43" s="8">
        <v>2032</v>
      </c>
      <c r="H43" s="8">
        <v>2033</v>
      </c>
      <c r="I43" s="8">
        <v>2034</v>
      </c>
      <c r="J43" s="8">
        <v>2035</v>
      </c>
      <c r="K43" s="8">
        <v>2036</v>
      </c>
    </row>
    <row r="44" spans="1:11" ht="15" customHeight="1" x14ac:dyDescent="0.3">
      <c r="A44" s="4" t="s">
        <v>129</v>
      </c>
      <c r="B44" s="28">
        <v>0</v>
      </c>
      <c r="C44" s="28">
        <v>50000</v>
      </c>
      <c r="D44" s="28">
        <v>50000</v>
      </c>
      <c r="E44" s="28">
        <v>50000</v>
      </c>
      <c r="F44" s="28">
        <v>50000</v>
      </c>
    </row>
    <row r="45" spans="1:11" ht="15" customHeight="1" x14ac:dyDescent="0.3">
      <c r="A45" s="4" t="s">
        <v>130</v>
      </c>
      <c r="B45" s="28">
        <v>0</v>
      </c>
      <c r="C45" s="28">
        <v>1</v>
      </c>
      <c r="D45" s="28">
        <v>1</v>
      </c>
      <c r="E45" s="28">
        <v>1</v>
      </c>
      <c r="F45" s="28">
        <v>1</v>
      </c>
    </row>
    <row r="46" spans="1:11" ht="15" customHeight="1" x14ac:dyDescent="0.3">
      <c r="A46" s="4" t="s">
        <v>131</v>
      </c>
      <c r="B46" s="9">
        <f>B44*B45</f>
        <v>0</v>
      </c>
      <c r="C46" s="9">
        <f>C44*C45</f>
        <v>50000</v>
      </c>
      <c r="D46" s="9">
        <f>D44*D45</f>
        <v>50000</v>
      </c>
      <c r="E46" s="9">
        <f>E44*E45</f>
        <v>50000</v>
      </c>
      <c r="F46" s="9">
        <f>F44*F45</f>
        <v>50000</v>
      </c>
    </row>
    <row r="48" spans="1:11" ht="15" customHeight="1" x14ac:dyDescent="0.3">
      <c r="A48" s="4" t="s">
        <v>132</v>
      </c>
      <c r="B48" s="28">
        <v>15000</v>
      </c>
      <c r="C48" s="28">
        <v>0</v>
      </c>
      <c r="D48" s="28">
        <v>15000</v>
      </c>
      <c r="E48" s="28">
        <v>15000</v>
      </c>
      <c r="F48" s="28">
        <v>15000</v>
      </c>
    </row>
    <row r="49" spans="1:11" ht="15" customHeight="1" x14ac:dyDescent="0.3">
      <c r="A49" s="4" t="s">
        <v>133</v>
      </c>
      <c r="B49" s="28">
        <v>2</v>
      </c>
      <c r="C49" s="28">
        <v>0</v>
      </c>
      <c r="D49" s="28">
        <v>1</v>
      </c>
      <c r="E49" s="28">
        <v>2</v>
      </c>
      <c r="F49" s="28">
        <v>3</v>
      </c>
    </row>
    <row r="50" spans="1:11" ht="15" customHeight="1" x14ac:dyDescent="0.3">
      <c r="A50" s="4" t="s">
        <v>134</v>
      </c>
      <c r="B50" s="9">
        <f>B48*B49</f>
        <v>30000</v>
      </c>
      <c r="C50" s="9">
        <f>C48*C49</f>
        <v>0</v>
      </c>
      <c r="D50" s="9">
        <f>D48*D49</f>
        <v>15000</v>
      </c>
      <c r="E50" s="9">
        <f>E48*E49</f>
        <v>30000</v>
      </c>
      <c r="F50" s="9">
        <f>F48*F49</f>
        <v>45000</v>
      </c>
    </row>
    <row r="52" spans="1:11" ht="15" customHeight="1" x14ac:dyDescent="0.3">
      <c r="A52" s="4" t="s">
        <v>135</v>
      </c>
      <c r="B52" s="28">
        <v>0</v>
      </c>
      <c r="C52" s="28">
        <v>5000</v>
      </c>
      <c r="D52" s="28">
        <v>5000</v>
      </c>
      <c r="E52" s="28">
        <v>5000</v>
      </c>
      <c r="F52" s="28">
        <v>5000</v>
      </c>
    </row>
    <row r="53" spans="1:11" ht="15" customHeight="1" x14ac:dyDescent="0.3">
      <c r="A53" s="4" t="s">
        <v>136</v>
      </c>
      <c r="B53" s="28">
        <v>0</v>
      </c>
      <c r="C53" s="28">
        <v>1</v>
      </c>
      <c r="D53" s="28">
        <v>2</v>
      </c>
      <c r="E53" s="28">
        <v>3</v>
      </c>
      <c r="F53" s="28">
        <v>3</v>
      </c>
    </row>
    <row r="54" spans="1:11" ht="15" customHeight="1" x14ac:dyDescent="0.3">
      <c r="A54" s="4" t="s">
        <v>137</v>
      </c>
      <c r="B54" s="9">
        <f>B52*B53</f>
        <v>0</v>
      </c>
      <c r="C54" s="9">
        <f>C52*C53</f>
        <v>5000</v>
      </c>
      <c r="D54" s="9">
        <f>D52*D53</f>
        <v>10000</v>
      </c>
      <c r="E54" s="9">
        <f>E52*E53</f>
        <v>15000</v>
      </c>
      <c r="F54" s="9">
        <f>F52*F53</f>
        <v>15000</v>
      </c>
    </row>
    <row r="56" spans="1:11" ht="15" customHeight="1" x14ac:dyDescent="0.3">
      <c r="A56" s="6" t="s">
        <v>138</v>
      </c>
      <c r="B56" s="11">
        <f>B46+B50+B54</f>
        <v>30000</v>
      </c>
      <c r="C56" s="11">
        <f>C46+C50+C54</f>
        <v>55000</v>
      </c>
      <c r="D56" s="11">
        <f>D46+D50+D54</f>
        <v>75000</v>
      </c>
      <c r="E56" s="11">
        <f>E46+E50+E54</f>
        <v>95000</v>
      </c>
      <c r="F56" s="11">
        <f>F46+F50+F54</f>
        <v>110000</v>
      </c>
      <c r="G56" s="11">
        <f>F56*(1+$B$10)^1</f>
        <v>116600</v>
      </c>
      <c r="H56" s="11">
        <f>F56*(1+$B$10)^2</f>
        <v>123596.00000000001</v>
      </c>
      <c r="I56" s="11">
        <f>F56*(1+$B$10)^3</f>
        <v>131011.76000000004</v>
      </c>
      <c r="J56" s="11">
        <f>F56*(1+$B$10)^4</f>
        <v>138872.46560000003</v>
      </c>
      <c r="K56" s="11">
        <f>F56*(1+$B$10)^5</f>
        <v>147204.81353600006</v>
      </c>
    </row>
    <row r="57" spans="1:11" ht="15" customHeight="1" x14ac:dyDescent="0.3">
      <c r="A57" s="12" t="s">
        <v>139</v>
      </c>
    </row>
    <row r="59" spans="1:11" ht="15" customHeight="1" x14ac:dyDescent="0.3">
      <c r="A59" s="2" t="s">
        <v>140</v>
      </c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5" customHeight="1" x14ac:dyDescent="0.3">
      <c r="A60" s="7"/>
      <c r="B60" s="8">
        <v>2027</v>
      </c>
      <c r="C60" s="8">
        <v>2028</v>
      </c>
      <c r="D60" s="8">
        <v>2029</v>
      </c>
      <c r="E60" s="8">
        <v>2030</v>
      </c>
      <c r="F60" s="8">
        <v>2031</v>
      </c>
      <c r="G60" s="8">
        <v>2032</v>
      </c>
      <c r="H60" s="8">
        <v>2033</v>
      </c>
      <c r="I60" s="8">
        <v>2034</v>
      </c>
      <c r="J60" s="8">
        <v>2035</v>
      </c>
      <c r="K60" s="8">
        <v>2036</v>
      </c>
    </row>
    <row r="61" spans="1:11" ht="15" customHeight="1" x14ac:dyDescent="0.3">
      <c r="A61" s="6" t="s">
        <v>141</v>
      </c>
      <c r="B61" s="28">
        <v>10000</v>
      </c>
      <c r="C61" s="28">
        <v>12500</v>
      </c>
      <c r="D61" s="28">
        <v>15000</v>
      </c>
      <c r="E61" s="28">
        <v>20000</v>
      </c>
      <c r="F61" s="28">
        <v>25000</v>
      </c>
      <c r="G61" s="28">
        <v>30000</v>
      </c>
      <c r="H61" s="28">
        <v>30000</v>
      </c>
      <c r="I61" s="28">
        <v>35000</v>
      </c>
      <c r="J61" s="28">
        <v>40000</v>
      </c>
      <c r="K61" s="28">
        <v>45000</v>
      </c>
    </row>
    <row r="62" spans="1:11" ht="15" customHeight="1" x14ac:dyDescent="0.3">
      <c r="A62" s="12" t="s">
        <v>142</v>
      </c>
    </row>
    <row r="64" spans="1:11" ht="15" customHeight="1" x14ac:dyDescent="0.3">
      <c r="A64" s="32" t="s">
        <v>143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1" ht="15" customHeight="1" x14ac:dyDescent="0.3">
      <c r="A65" s="23" t="s">
        <v>144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spans="1:1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</row>
    <row r="67" spans="1:11" ht="15" customHeight="1" x14ac:dyDescent="0.3">
      <c r="A67" s="20"/>
      <c r="B67" s="33">
        <v>2027</v>
      </c>
      <c r="C67" s="33">
        <v>2028</v>
      </c>
      <c r="D67" s="33">
        <v>2029</v>
      </c>
      <c r="E67" s="33">
        <v>2030</v>
      </c>
      <c r="F67" s="33">
        <v>2031</v>
      </c>
      <c r="G67" s="33">
        <v>2032</v>
      </c>
      <c r="H67" s="33">
        <v>2033</v>
      </c>
      <c r="I67" s="33">
        <v>2034</v>
      </c>
      <c r="J67" s="33">
        <v>2035</v>
      </c>
      <c r="K67" s="33">
        <v>2036</v>
      </c>
    </row>
    <row r="68" spans="1:11" ht="15" customHeight="1" x14ac:dyDescent="0.3">
      <c r="A68" s="16" t="s">
        <v>145</v>
      </c>
      <c r="B68" s="34">
        <v>150</v>
      </c>
      <c r="C68" s="20"/>
      <c r="D68" s="20"/>
      <c r="E68" s="20"/>
      <c r="F68" s="20"/>
      <c r="G68" s="20"/>
      <c r="H68" s="20"/>
      <c r="I68" s="20"/>
      <c r="J68" s="20"/>
      <c r="K68" s="20"/>
    </row>
    <row r="69" spans="1:11" ht="15" customHeight="1" x14ac:dyDescent="0.3">
      <c r="A69" s="16" t="s">
        <v>146</v>
      </c>
      <c r="B69" s="34">
        <v>50</v>
      </c>
      <c r="C69" s="20"/>
      <c r="D69" s="20"/>
      <c r="E69" s="20"/>
      <c r="F69" s="20"/>
      <c r="G69" s="20"/>
      <c r="H69" s="20"/>
      <c r="I69" s="20"/>
      <c r="J69" s="20"/>
      <c r="K69" s="20"/>
    </row>
    <row r="70" spans="1:11" ht="15" customHeight="1" x14ac:dyDescent="0.3">
      <c r="A70" s="16" t="s">
        <v>147</v>
      </c>
      <c r="B70" s="24">
        <v>0</v>
      </c>
      <c r="C70" s="20"/>
      <c r="D70" s="20"/>
      <c r="E70" s="20"/>
      <c r="F70" s="20"/>
      <c r="G70" s="20"/>
      <c r="H70" s="20"/>
      <c r="I70" s="20"/>
      <c r="J70" s="20"/>
      <c r="K70" s="20"/>
    </row>
    <row r="71" spans="1:11" ht="15" customHeight="1" x14ac:dyDescent="0.3">
      <c r="A71" s="16" t="s">
        <v>148</v>
      </c>
      <c r="B71" s="35">
        <f>B68*B69</f>
        <v>7500</v>
      </c>
      <c r="C71" s="35">
        <f t="shared" ref="C71:K71" si="8">B71*(1+$B$9)</f>
        <v>7725</v>
      </c>
      <c r="D71" s="35">
        <f t="shared" si="8"/>
        <v>7956.75</v>
      </c>
      <c r="E71" s="35">
        <f t="shared" si="8"/>
        <v>8195.4524999999994</v>
      </c>
      <c r="F71" s="35">
        <f t="shared" si="8"/>
        <v>8441.3160749999988</v>
      </c>
      <c r="G71" s="35">
        <f t="shared" si="8"/>
        <v>8694.5555572499998</v>
      </c>
      <c r="H71" s="35">
        <f t="shared" si="8"/>
        <v>8955.3922239674994</v>
      </c>
      <c r="I71" s="35">
        <f t="shared" si="8"/>
        <v>9224.0539906865251</v>
      </c>
      <c r="J71" s="35">
        <f t="shared" si="8"/>
        <v>9500.7756104071213</v>
      </c>
      <c r="K71" s="35">
        <f t="shared" si="8"/>
        <v>9785.7988787193353</v>
      </c>
    </row>
    <row r="72" spans="1:11" ht="15" customHeight="1" x14ac:dyDescent="0.3">
      <c r="A72" s="16" t="s">
        <v>149</v>
      </c>
      <c r="B72" s="35">
        <f t="shared" ref="B72:K72" si="9">B71*$B70</f>
        <v>0</v>
      </c>
      <c r="C72" s="35">
        <f t="shared" si="9"/>
        <v>0</v>
      </c>
      <c r="D72" s="35">
        <f t="shared" si="9"/>
        <v>0</v>
      </c>
      <c r="E72" s="35">
        <f t="shared" si="9"/>
        <v>0</v>
      </c>
      <c r="F72" s="35">
        <f t="shared" si="9"/>
        <v>0</v>
      </c>
      <c r="G72" s="35">
        <f t="shared" si="9"/>
        <v>0</v>
      </c>
      <c r="H72" s="35">
        <f t="shared" si="9"/>
        <v>0</v>
      </c>
      <c r="I72" s="35">
        <f t="shared" si="9"/>
        <v>0</v>
      </c>
      <c r="J72" s="35">
        <f t="shared" si="9"/>
        <v>0</v>
      </c>
      <c r="K72" s="35">
        <f t="shared" si="9"/>
        <v>0</v>
      </c>
    </row>
    <row r="73" spans="1:1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1:11" ht="15" customHeight="1" x14ac:dyDescent="0.3">
      <c r="A74" s="16" t="s">
        <v>150</v>
      </c>
      <c r="B74" s="34">
        <v>280</v>
      </c>
      <c r="C74" s="20"/>
      <c r="D74" s="20"/>
      <c r="E74" s="20"/>
      <c r="F74" s="20"/>
      <c r="G74" s="20"/>
      <c r="H74" s="20"/>
      <c r="I74" s="20"/>
      <c r="J74" s="20"/>
      <c r="K74" s="20"/>
    </row>
    <row r="75" spans="1:11" ht="15" customHeight="1" x14ac:dyDescent="0.3">
      <c r="A75" s="16" t="s">
        <v>151</v>
      </c>
      <c r="B75" s="34">
        <v>20</v>
      </c>
      <c r="C75" s="20"/>
      <c r="D75" s="20"/>
      <c r="E75" s="20"/>
      <c r="F75" s="20"/>
      <c r="G75" s="20"/>
      <c r="H75" s="20"/>
      <c r="I75" s="20"/>
      <c r="J75" s="20"/>
      <c r="K75" s="20"/>
    </row>
    <row r="76" spans="1:11" ht="15" customHeight="1" x14ac:dyDescent="0.3">
      <c r="A76" s="16" t="s">
        <v>152</v>
      </c>
      <c r="B76" s="24">
        <v>0</v>
      </c>
      <c r="C76" s="20"/>
      <c r="D76" s="20"/>
      <c r="E76" s="20"/>
      <c r="F76" s="20"/>
      <c r="G76" s="20"/>
      <c r="H76" s="20"/>
      <c r="I76" s="20"/>
      <c r="J76" s="20"/>
      <c r="K76" s="20"/>
    </row>
    <row r="77" spans="1:11" ht="15" customHeight="1" x14ac:dyDescent="0.3">
      <c r="A77" s="16" t="s">
        <v>153</v>
      </c>
      <c r="B77" s="35">
        <f>B74*B75</f>
        <v>5600</v>
      </c>
      <c r="C77" s="35">
        <f t="shared" ref="C77:K77" si="10">B77*(1+$B$9)</f>
        <v>5768</v>
      </c>
      <c r="D77" s="35">
        <f t="shared" si="10"/>
        <v>5941.04</v>
      </c>
      <c r="E77" s="35">
        <f t="shared" si="10"/>
        <v>6119.2712000000001</v>
      </c>
      <c r="F77" s="35">
        <f t="shared" si="10"/>
        <v>6302.8493360000002</v>
      </c>
      <c r="G77" s="35">
        <f t="shared" si="10"/>
        <v>6491.93481608</v>
      </c>
      <c r="H77" s="35">
        <f t="shared" si="10"/>
        <v>6686.6928605623998</v>
      </c>
      <c r="I77" s="35">
        <f t="shared" si="10"/>
        <v>6887.2936463792721</v>
      </c>
      <c r="J77" s="35">
        <f t="shared" si="10"/>
        <v>7093.91245577065</v>
      </c>
      <c r="K77" s="35">
        <f t="shared" si="10"/>
        <v>7306.7298294437696</v>
      </c>
    </row>
    <row r="78" spans="1:11" ht="15" customHeight="1" x14ac:dyDescent="0.3">
      <c r="A78" s="16" t="s">
        <v>154</v>
      </c>
      <c r="B78" s="35">
        <f t="shared" ref="B78:K78" si="11">B77*$B76</f>
        <v>0</v>
      </c>
      <c r="C78" s="35">
        <f t="shared" si="11"/>
        <v>0</v>
      </c>
      <c r="D78" s="35">
        <f t="shared" si="11"/>
        <v>0</v>
      </c>
      <c r="E78" s="35">
        <f t="shared" si="11"/>
        <v>0</v>
      </c>
      <c r="F78" s="35">
        <f t="shared" si="11"/>
        <v>0</v>
      </c>
      <c r="G78" s="35">
        <f t="shared" si="11"/>
        <v>0</v>
      </c>
      <c r="H78" s="35">
        <f t="shared" si="11"/>
        <v>0</v>
      </c>
      <c r="I78" s="35">
        <f t="shared" si="11"/>
        <v>0</v>
      </c>
      <c r="J78" s="35">
        <f t="shared" si="11"/>
        <v>0</v>
      </c>
      <c r="K78" s="35">
        <f t="shared" si="11"/>
        <v>0</v>
      </c>
    </row>
    <row r="79" spans="1:1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 spans="1:11" ht="15" customHeight="1" x14ac:dyDescent="0.3">
      <c r="A80" s="16" t="s">
        <v>155</v>
      </c>
      <c r="B80" s="34">
        <v>280</v>
      </c>
      <c r="C80" s="20"/>
      <c r="D80" s="20"/>
      <c r="E80" s="20"/>
      <c r="F80" s="20"/>
      <c r="G80" s="20"/>
      <c r="H80" s="20"/>
      <c r="I80" s="20"/>
      <c r="J80" s="20"/>
      <c r="K80" s="20"/>
    </row>
    <row r="81" spans="1:11" ht="15" customHeight="1" x14ac:dyDescent="0.3">
      <c r="A81" s="16" t="s">
        <v>156</v>
      </c>
      <c r="B81" s="34">
        <v>50</v>
      </c>
      <c r="C81" s="20"/>
      <c r="D81" s="20"/>
      <c r="E81" s="20"/>
      <c r="F81" s="20"/>
      <c r="G81" s="20"/>
      <c r="H81" s="20"/>
      <c r="I81" s="20"/>
      <c r="J81" s="20"/>
      <c r="K81" s="20"/>
    </row>
    <row r="82" spans="1:11" ht="15" customHeight="1" x14ac:dyDescent="0.3">
      <c r="A82" s="16" t="s">
        <v>157</v>
      </c>
      <c r="B82" s="24">
        <v>0</v>
      </c>
      <c r="C82" s="20"/>
      <c r="D82" s="20"/>
      <c r="E82" s="20"/>
      <c r="F82" s="20"/>
      <c r="G82" s="20"/>
      <c r="H82" s="20"/>
      <c r="I82" s="20"/>
      <c r="J82" s="20"/>
      <c r="K82" s="20"/>
    </row>
    <row r="83" spans="1:11" ht="15" customHeight="1" x14ac:dyDescent="0.3">
      <c r="A83" s="16" t="s">
        <v>158</v>
      </c>
      <c r="B83" s="35">
        <f>B80*B81</f>
        <v>14000</v>
      </c>
      <c r="C83" s="35">
        <f t="shared" ref="C83:K83" si="12">B83*(1+$B$9)</f>
        <v>14420</v>
      </c>
      <c r="D83" s="35">
        <f t="shared" si="12"/>
        <v>14852.6</v>
      </c>
      <c r="E83" s="35">
        <f t="shared" si="12"/>
        <v>15298.178</v>
      </c>
      <c r="F83" s="35">
        <f t="shared" si="12"/>
        <v>15757.12334</v>
      </c>
      <c r="G83" s="35">
        <f t="shared" si="12"/>
        <v>16229.8370402</v>
      </c>
      <c r="H83" s="35">
        <f t="shared" si="12"/>
        <v>16716.732151406002</v>
      </c>
      <c r="I83" s="35">
        <f t="shared" si="12"/>
        <v>17218.234115948184</v>
      </c>
      <c r="J83" s="35">
        <f t="shared" si="12"/>
        <v>17734.781139426628</v>
      </c>
      <c r="K83" s="35">
        <f t="shared" si="12"/>
        <v>18266.824573609429</v>
      </c>
    </row>
    <row r="84" spans="1:11" x14ac:dyDescent="0.3">
      <c r="A84" s="16" t="s">
        <v>159</v>
      </c>
      <c r="B84" s="20">
        <f t="shared" ref="B84:K84" si="13">B83*$B82</f>
        <v>0</v>
      </c>
      <c r="C84" s="20">
        <f t="shared" si="13"/>
        <v>0</v>
      </c>
      <c r="D84" s="20">
        <f t="shared" si="13"/>
        <v>0</v>
      </c>
      <c r="E84" s="20">
        <f t="shared" si="13"/>
        <v>0</v>
      </c>
      <c r="F84" s="20">
        <f t="shared" si="13"/>
        <v>0</v>
      </c>
      <c r="G84" s="20">
        <f t="shared" si="13"/>
        <v>0</v>
      </c>
      <c r="H84" s="20">
        <f t="shared" si="13"/>
        <v>0</v>
      </c>
      <c r="I84" s="20">
        <f t="shared" si="13"/>
        <v>0</v>
      </c>
      <c r="J84" s="20">
        <f t="shared" si="13"/>
        <v>0</v>
      </c>
      <c r="K84" s="20">
        <f t="shared" si="13"/>
        <v>0</v>
      </c>
    </row>
    <row r="85" spans="1:11" ht="15" customHeight="1" x14ac:dyDescent="0.3">
      <c r="A85" s="20"/>
      <c r="B85" s="36"/>
      <c r="C85" s="36"/>
      <c r="D85" s="36"/>
      <c r="E85" s="36"/>
      <c r="F85" s="36"/>
      <c r="G85" s="36"/>
      <c r="H85" s="36"/>
      <c r="I85" s="36"/>
      <c r="J85" s="36"/>
      <c r="K85" s="36"/>
    </row>
    <row r="86" spans="1:11" x14ac:dyDescent="0.3">
      <c r="A86" s="16" t="s">
        <v>160</v>
      </c>
      <c r="B86" s="26">
        <v>150</v>
      </c>
      <c r="C86" s="20"/>
      <c r="D86" s="20"/>
      <c r="E86" s="20"/>
      <c r="F86" s="20"/>
      <c r="G86" s="20"/>
      <c r="H86" s="20"/>
      <c r="I86" s="20"/>
      <c r="J86" s="20"/>
      <c r="K86" s="20"/>
    </row>
    <row r="87" spans="1:11" ht="15" customHeight="1" x14ac:dyDescent="0.3">
      <c r="A87" s="16" t="s">
        <v>161</v>
      </c>
      <c r="B87" s="26">
        <v>50</v>
      </c>
      <c r="C87" s="20"/>
      <c r="D87" s="20"/>
      <c r="E87" s="20"/>
      <c r="F87" s="20"/>
      <c r="G87" s="20"/>
      <c r="H87" s="20"/>
      <c r="I87" s="20"/>
      <c r="J87" s="20"/>
      <c r="K87" s="20"/>
    </row>
    <row r="88" spans="1:11" ht="15" customHeight="1" x14ac:dyDescent="0.3">
      <c r="A88" s="16" t="s">
        <v>162</v>
      </c>
      <c r="B88" s="39">
        <v>0</v>
      </c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5" customHeight="1" x14ac:dyDescent="0.3">
      <c r="A89" s="16" t="s">
        <v>163</v>
      </c>
      <c r="B89" s="35">
        <f>B86*B87</f>
        <v>7500</v>
      </c>
      <c r="C89" s="35">
        <f t="shared" ref="C89:K89" si="14">B89*(1+$B$9)</f>
        <v>7725</v>
      </c>
      <c r="D89" s="35">
        <f t="shared" si="14"/>
        <v>7956.75</v>
      </c>
      <c r="E89" s="35">
        <f t="shared" si="14"/>
        <v>8195.4524999999994</v>
      </c>
      <c r="F89" s="35">
        <f t="shared" si="14"/>
        <v>8441.3160749999988</v>
      </c>
      <c r="G89" s="35">
        <f t="shared" si="14"/>
        <v>8694.5555572499998</v>
      </c>
      <c r="H89" s="35">
        <f t="shared" si="14"/>
        <v>8955.3922239674994</v>
      </c>
      <c r="I89" s="35">
        <f t="shared" si="14"/>
        <v>9224.0539906865251</v>
      </c>
      <c r="J89" s="35">
        <f t="shared" si="14"/>
        <v>9500.7756104071213</v>
      </c>
      <c r="K89" s="35">
        <f t="shared" si="14"/>
        <v>9785.7988787193353</v>
      </c>
    </row>
    <row r="90" spans="1:11" ht="15" customHeight="1" x14ac:dyDescent="0.3">
      <c r="A90" s="16" t="s">
        <v>164</v>
      </c>
      <c r="B90" s="20">
        <f t="shared" ref="B90:K90" si="15">B89*$B88</f>
        <v>0</v>
      </c>
      <c r="C90" s="20">
        <f t="shared" si="15"/>
        <v>0</v>
      </c>
      <c r="D90" s="20">
        <f t="shared" si="15"/>
        <v>0</v>
      </c>
      <c r="E90" s="20">
        <f t="shared" si="15"/>
        <v>0</v>
      </c>
      <c r="F90" s="20">
        <f t="shared" si="15"/>
        <v>0</v>
      </c>
      <c r="G90" s="20">
        <f t="shared" si="15"/>
        <v>0</v>
      </c>
      <c r="H90" s="20">
        <f t="shared" si="15"/>
        <v>0</v>
      </c>
      <c r="I90" s="20">
        <f t="shared" si="15"/>
        <v>0</v>
      </c>
      <c r="J90" s="20">
        <f t="shared" si="15"/>
        <v>0</v>
      </c>
      <c r="K90" s="20">
        <f t="shared" si="15"/>
        <v>0</v>
      </c>
    </row>
    <row r="91" spans="1:1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</row>
    <row r="92" spans="1:11" ht="15" customHeight="1" x14ac:dyDescent="0.3">
      <c r="A92" s="16" t="s">
        <v>165</v>
      </c>
      <c r="B92" s="26">
        <v>80</v>
      </c>
      <c r="C92" s="20"/>
      <c r="D92" s="20"/>
      <c r="E92" s="20"/>
      <c r="F92" s="20"/>
      <c r="G92" s="20"/>
      <c r="H92" s="20"/>
      <c r="I92" s="20"/>
      <c r="J92" s="20"/>
      <c r="K92" s="20"/>
    </row>
    <row r="93" spans="1:11" ht="15" customHeight="1" x14ac:dyDescent="0.3">
      <c r="A93" s="16" t="s">
        <v>166</v>
      </c>
      <c r="B93" s="40">
        <v>8</v>
      </c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5" customHeight="1" x14ac:dyDescent="0.3">
      <c r="A94" s="16" t="s">
        <v>167</v>
      </c>
      <c r="B94" s="39">
        <v>1</v>
      </c>
      <c r="C94" s="35"/>
      <c r="D94" s="35"/>
      <c r="E94" s="35"/>
      <c r="F94" s="35"/>
      <c r="G94" s="35"/>
      <c r="H94" s="35"/>
      <c r="I94" s="35"/>
      <c r="J94" s="35"/>
      <c r="K94" s="35"/>
    </row>
    <row r="95" spans="1:11" ht="15" customHeight="1" x14ac:dyDescent="0.3">
      <c r="A95" s="16" t="s">
        <v>168</v>
      </c>
      <c r="B95" s="20">
        <f>B92*B93</f>
        <v>640</v>
      </c>
      <c r="C95" s="20">
        <f t="shared" ref="C95:K95" si="16">B95*(1+$B$9)</f>
        <v>659.2</v>
      </c>
      <c r="D95" s="20">
        <f t="shared" si="16"/>
        <v>678.97600000000011</v>
      </c>
      <c r="E95" s="20">
        <f t="shared" si="16"/>
        <v>699.34528000000012</v>
      </c>
      <c r="F95" s="20">
        <f t="shared" si="16"/>
        <v>720.32563840000012</v>
      </c>
      <c r="G95" s="20">
        <f t="shared" si="16"/>
        <v>741.93540755200013</v>
      </c>
      <c r="H95" s="20">
        <f t="shared" si="16"/>
        <v>764.19346977856014</v>
      </c>
      <c r="I95" s="20">
        <f t="shared" si="16"/>
        <v>787.11927387191702</v>
      </c>
      <c r="J95" s="20">
        <f t="shared" si="16"/>
        <v>810.73285208807454</v>
      </c>
      <c r="K95" s="20">
        <f t="shared" si="16"/>
        <v>835.05483765071676</v>
      </c>
    </row>
    <row r="96" spans="1:11" x14ac:dyDescent="0.3">
      <c r="A96" s="16" t="s">
        <v>169</v>
      </c>
      <c r="B96" s="20">
        <f t="shared" ref="B96:K96" si="17">B95*$B94</f>
        <v>640</v>
      </c>
      <c r="C96" s="20">
        <f t="shared" si="17"/>
        <v>659.2</v>
      </c>
      <c r="D96" s="20">
        <f t="shared" si="17"/>
        <v>678.97600000000011</v>
      </c>
      <c r="E96" s="20">
        <f t="shared" si="17"/>
        <v>699.34528000000012</v>
      </c>
      <c r="F96" s="20">
        <f t="shared" si="17"/>
        <v>720.32563840000012</v>
      </c>
      <c r="G96" s="20">
        <f t="shared" si="17"/>
        <v>741.93540755200013</v>
      </c>
      <c r="H96" s="20">
        <f t="shared" si="17"/>
        <v>764.19346977856014</v>
      </c>
      <c r="I96" s="20">
        <f t="shared" si="17"/>
        <v>787.11927387191702</v>
      </c>
      <c r="J96" s="20">
        <f t="shared" si="17"/>
        <v>810.73285208807454</v>
      </c>
      <c r="K96" s="20">
        <f t="shared" si="17"/>
        <v>835.05483765071676</v>
      </c>
    </row>
    <row r="97" spans="1:11" ht="15" customHeight="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 spans="1:11" ht="15" customHeight="1" x14ac:dyDescent="0.3">
      <c r="A98" s="22" t="s">
        <v>170</v>
      </c>
      <c r="B98" s="42">
        <f t="shared" ref="B98:K98" si="18">B72+B78+B84+B90+B96</f>
        <v>640</v>
      </c>
      <c r="C98" s="42">
        <f t="shared" si="18"/>
        <v>659.2</v>
      </c>
      <c r="D98" s="42">
        <f t="shared" si="18"/>
        <v>678.97600000000011</v>
      </c>
      <c r="E98" s="42">
        <f t="shared" si="18"/>
        <v>699.34528000000012</v>
      </c>
      <c r="F98" s="42">
        <f t="shared" si="18"/>
        <v>720.32563840000012</v>
      </c>
      <c r="G98" s="42">
        <f t="shared" si="18"/>
        <v>741.93540755200013</v>
      </c>
      <c r="H98" s="42">
        <f t="shared" si="18"/>
        <v>764.19346977856014</v>
      </c>
      <c r="I98" s="42">
        <f t="shared" si="18"/>
        <v>787.11927387191702</v>
      </c>
      <c r="J98" s="42">
        <f t="shared" si="18"/>
        <v>810.73285208807454</v>
      </c>
      <c r="K98" s="42">
        <f t="shared" si="18"/>
        <v>835.05483765071676</v>
      </c>
    </row>
    <row r="99" spans="1:11" ht="15" customHeight="1" x14ac:dyDescent="0.3">
      <c r="A99" s="20"/>
      <c r="B99" s="36"/>
      <c r="C99" s="36"/>
      <c r="D99" s="36"/>
      <c r="E99" s="36"/>
      <c r="F99" s="36"/>
      <c r="G99" s="36"/>
      <c r="H99" s="36"/>
      <c r="I99" s="36"/>
      <c r="J99" s="36"/>
      <c r="K99" s="36"/>
    </row>
    <row r="100" spans="1:11" ht="15" customHeight="1" x14ac:dyDescent="0.3">
      <c r="A100" s="32" t="s">
        <v>171</v>
      </c>
      <c r="B100" s="35"/>
      <c r="C100" s="35"/>
      <c r="D100" s="35"/>
      <c r="E100" s="35"/>
      <c r="F100" s="35"/>
      <c r="G100" s="35"/>
      <c r="H100" s="35"/>
      <c r="I100" s="35"/>
      <c r="J100" s="35"/>
      <c r="K100" s="35"/>
    </row>
    <row r="101" spans="1:11" ht="15" customHeight="1" x14ac:dyDescent="0.3">
      <c r="A101" s="20"/>
      <c r="B101" s="41">
        <v>2027</v>
      </c>
      <c r="C101" s="41">
        <v>2028</v>
      </c>
      <c r="D101" s="41">
        <v>2029</v>
      </c>
      <c r="E101" s="41">
        <v>2030</v>
      </c>
      <c r="F101" s="41">
        <v>2031</v>
      </c>
      <c r="G101" s="41">
        <v>2032</v>
      </c>
      <c r="H101" s="41">
        <v>2033</v>
      </c>
      <c r="I101" s="41">
        <v>2034</v>
      </c>
      <c r="J101" s="41">
        <v>2035</v>
      </c>
      <c r="K101" s="41">
        <v>2036</v>
      </c>
    </row>
    <row r="102" spans="1:11" x14ac:dyDescent="0.3">
      <c r="A102" s="16" t="s">
        <v>172</v>
      </c>
      <c r="B102" s="38">
        <v>0</v>
      </c>
      <c r="C102" s="38">
        <v>0</v>
      </c>
      <c r="D102" s="38">
        <v>0</v>
      </c>
      <c r="E102" s="38">
        <v>0</v>
      </c>
      <c r="F102" s="38">
        <v>0</v>
      </c>
      <c r="G102" s="38">
        <v>0</v>
      </c>
      <c r="H102" s="38">
        <v>0</v>
      </c>
      <c r="I102" s="38">
        <v>0</v>
      </c>
      <c r="J102" s="38">
        <v>0</v>
      </c>
      <c r="K102" s="38">
        <v>0</v>
      </c>
    </row>
    <row r="103" spans="1:11" x14ac:dyDescent="0.3">
      <c r="A103" s="23" t="s">
        <v>173</v>
      </c>
    </row>
    <row r="105" spans="1:11" x14ac:dyDescent="0.3">
      <c r="A105" s="32" t="s">
        <v>174</v>
      </c>
    </row>
    <row r="106" spans="1:11" x14ac:dyDescent="0.3">
      <c r="B106" s="22">
        <v>2027</v>
      </c>
      <c r="C106" s="22">
        <v>2028</v>
      </c>
      <c r="D106" s="22">
        <v>2029</v>
      </c>
      <c r="E106" s="22">
        <v>2030</v>
      </c>
      <c r="F106" s="22">
        <v>2031</v>
      </c>
      <c r="G106" s="22">
        <v>2032</v>
      </c>
      <c r="H106" s="22">
        <v>2033</v>
      </c>
      <c r="I106" s="22">
        <v>2034</v>
      </c>
      <c r="J106" s="22">
        <v>2035</v>
      </c>
      <c r="K106" s="22">
        <v>2036</v>
      </c>
    </row>
    <row r="107" spans="1:11" x14ac:dyDescent="0.3">
      <c r="A107" s="16" t="s">
        <v>175</v>
      </c>
      <c r="B107" s="38">
        <v>2000</v>
      </c>
      <c r="C107">
        <f>B107*(1+'P&amp;L'!$B$4)</f>
        <v>2040</v>
      </c>
      <c r="D107">
        <f>C107*(1+'P&amp;L'!$B$4)</f>
        <v>2080.8000000000002</v>
      </c>
      <c r="E107">
        <f>D107*(1+'P&amp;L'!$B$4)</f>
        <v>2122.4160000000002</v>
      </c>
      <c r="F107">
        <f>E107*(1+'P&amp;L'!$B$4)</f>
        <v>2164.8643200000001</v>
      </c>
      <c r="G107">
        <f>F107*(1+'P&amp;L'!$B$4)</f>
        <v>2208.1616064</v>
      </c>
      <c r="H107">
        <f>G107*(1+'P&amp;L'!$B$4)</f>
        <v>2252.3248385279999</v>
      </c>
      <c r="I107">
        <f>H107*(1+'P&amp;L'!$B$4)</f>
        <v>2297.3713352985601</v>
      </c>
      <c r="J107">
        <f>I107*(1+'P&amp;L'!$B$4)</f>
        <v>2343.3187620045314</v>
      </c>
      <c r="K107">
        <f>J107*(1+'P&amp;L'!$B$4)</f>
        <v>2390.1851372446222</v>
      </c>
    </row>
    <row r="108" spans="1:11" x14ac:dyDescent="0.3">
      <c r="A108" s="23" t="s">
        <v>176</v>
      </c>
    </row>
    <row r="110" spans="1:11" x14ac:dyDescent="0.3">
      <c r="A110" s="32" t="s">
        <v>177</v>
      </c>
    </row>
    <row r="111" spans="1:11" x14ac:dyDescent="0.3">
      <c r="B111" s="22">
        <v>2027</v>
      </c>
      <c r="C111" s="22">
        <v>2028</v>
      </c>
      <c r="D111" s="22">
        <v>2029</v>
      </c>
      <c r="E111" s="22">
        <v>2030</v>
      </c>
      <c r="F111" s="22">
        <v>2031</v>
      </c>
      <c r="G111" s="22">
        <v>2032</v>
      </c>
      <c r="H111" s="22">
        <v>2033</v>
      </c>
      <c r="I111" s="22">
        <v>2034</v>
      </c>
      <c r="J111" s="22">
        <v>2035</v>
      </c>
      <c r="K111" s="22">
        <v>2036</v>
      </c>
    </row>
    <row r="112" spans="1:11" x14ac:dyDescent="0.3">
      <c r="A112" s="22" t="s">
        <v>178</v>
      </c>
      <c r="B112">
        <f t="shared" ref="B112:K112" si="19">B40+B56+B61+B98+B102+B107</f>
        <v>98265</v>
      </c>
      <c r="C112">
        <f t="shared" si="19"/>
        <v>130274.2</v>
      </c>
      <c r="D112">
        <f t="shared" si="19"/>
        <v>157640.77599999998</v>
      </c>
      <c r="E112">
        <f t="shared" si="19"/>
        <v>187893.24128000002</v>
      </c>
      <c r="F112">
        <f t="shared" si="19"/>
        <v>210759.52915840005</v>
      </c>
      <c r="G112">
        <f t="shared" si="19"/>
        <v>225339.40978195201</v>
      </c>
      <c r="H112">
        <f t="shared" si="19"/>
        <v>235433.40358702658</v>
      </c>
      <c r="I112">
        <f t="shared" si="19"/>
        <v>251069.97129903932</v>
      </c>
      <c r="J112">
        <f t="shared" si="19"/>
        <v>267279.1867315562</v>
      </c>
      <c r="K112">
        <f t="shared" si="19"/>
        <v>284092.82980905758</v>
      </c>
    </row>
    <row r="113" spans="1:11" x14ac:dyDescent="0.3">
      <c r="A113" s="22" t="s">
        <v>179</v>
      </c>
      <c r="B113">
        <f>IF(2027&gt;=$B$13,B112*$B$11,0)</f>
        <v>54045.750000000007</v>
      </c>
      <c r="C113">
        <f>IF(2028&gt;=$B$13,C112*$B$11,0)</f>
        <v>71650.81</v>
      </c>
      <c r="D113">
        <f>IF(2029&gt;=$B$13,D112*$B$11,0)</f>
        <v>86702.426800000001</v>
      </c>
      <c r="E113">
        <f>IF(2030&gt;=$B$13,E112*$B$11,0)</f>
        <v>103341.28270400001</v>
      </c>
      <c r="F113">
        <f>IF(2031&gt;=$B$13,F112*$B$11,0)</f>
        <v>115917.74103712004</v>
      </c>
      <c r="G113">
        <f>IF(2032&gt;=$B$13,G112*$B$11,0)</f>
        <v>123936.67538007362</v>
      </c>
      <c r="H113">
        <f>IF(2033&gt;=$B$13,H112*$B$11,0)</f>
        <v>129488.37197286462</v>
      </c>
      <c r="I113">
        <f>IF(2034&gt;=$B$13,I112*$B$11,0)</f>
        <v>138088.48421447162</v>
      </c>
      <c r="J113">
        <f>IF(2035&gt;=$B$13,J112*$B$11,0)</f>
        <v>147003.55270235593</v>
      </c>
      <c r="K113">
        <f>IF(2036&gt;=$B$13,K112*$B$11,0)</f>
        <v>156251.05639498169</v>
      </c>
    </row>
    <row r="114" spans="1:11" x14ac:dyDescent="0.3">
      <c r="A114" s="22" t="s">
        <v>180</v>
      </c>
      <c r="B114">
        <f t="shared" ref="B114:K114" si="20">B112+B113</f>
        <v>152310.75</v>
      </c>
      <c r="C114">
        <f t="shared" si="20"/>
        <v>201925.01</v>
      </c>
      <c r="D114">
        <f t="shared" si="20"/>
        <v>244343.20279999997</v>
      </c>
      <c r="E114">
        <f t="shared" si="20"/>
        <v>291234.52398400003</v>
      </c>
      <c r="F114">
        <f t="shared" si="20"/>
        <v>326677.27019552008</v>
      </c>
      <c r="G114">
        <f t="shared" si="20"/>
        <v>349276.08516202564</v>
      </c>
      <c r="H114">
        <f t="shared" si="20"/>
        <v>364921.77555989119</v>
      </c>
      <c r="I114">
        <f t="shared" si="20"/>
        <v>389158.45551351097</v>
      </c>
      <c r="J114">
        <f t="shared" si="20"/>
        <v>414282.73943391209</v>
      </c>
      <c r="K114">
        <f t="shared" si="20"/>
        <v>440343.88620403927</v>
      </c>
    </row>
  </sheetData>
  <sheetProtection algorithmName="SHA-512" hashValue="iObuLilfV0VW0Bkje8ld9qubh2+RZRdhTVegZatPPtH+Lyfk9XSVF0kE85itscbyZneToTFijiGlfXQ3389HTA==" saltValue="pS6B8iPQddrKo76Jh/SVZw==" spinCount="100000" sheet="1"/>
  <phoneticPr fontId="17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7"/>
  <sheetViews>
    <sheetView topLeftCell="A30" zoomScaleNormal="100" workbookViewId="0">
      <pane xSplit="1" topLeftCell="B1" activePane="topRight" state="frozen"/>
      <selection pane="topRight" activeCell="B48" sqref="B48"/>
    </sheetView>
  </sheetViews>
  <sheetFormatPr defaultColWidth="8.6640625" defaultRowHeight="14.4" x14ac:dyDescent="0.3"/>
  <cols>
    <col min="1" max="1" width="42" customWidth="1"/>
    <col min="2" max="11" width="15" customWidth="1"/>
  </cols>
  <sheetData>
    <row r="1" spans="1:11" ht="17.399999999999999" customHeight="1" x14ac:dyDescent="0.3">
      <c r="A1" s="1" t="s">
        <v>202</v>
      </c>
    </row>
    <row r="3" spans="1:11" ht="15" customHeight="1" x14ac:dyDescent="0.3">
      <c r="A3" s="19" t="s">
        <v>97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5" customHeight="1" x14ac:dyDescent="0.3">
      <c r="A4" s="4" t="s">
        <v>203</v>
      </c>
      <c r="B4" s="30">
        <v>0.03</v>
      </c>
    </row>
    <row r="5" spans="1:11" ht="15" customHeight="1" x14ac:dyDescent="0.3">
      <c r="A5" s="4" t="s">
        <v>204</v>
      </c>
      <c r="B5" s="30">
        <v>0.06</v>
      </c>
    </row>
    <row r="6" spans="1:11" ht="15" customHeight="1" x14ac:dyDescent="0.3">
      <c r="A6" s="4" t="s">
        <v>205</v>
      </c>
      <c r="B6" s="30">
        <v>0.09</v>
      </c>
    </row>
    <row r="8" spans="1:11" ht="15" customHeight="1" x14ac:dyDescent="0.3">
      <c r="A8" s="12" t="s">
        <v>206</v>
      </c>
    </row>
    <row r="9" spans="1:11" ht="15" customHeight="1" x14ac:dyDescent="0.3">
      <c r="A9" s="12" t="s">
        <v>207</v>
      </c>
    </row>
    <row r="10" spans="1:11" ht="15" customHeight="1" x14ac:dyDescent="0.3">
      <c r="A10" s="12" t="s">
        <v>208</v>
      </c>
    </row>
    <row r="11" spans="1:11" ht="15" customHeight="1" x14ac:dyDescent="0.3">
      <c r="A11" s="12" t="s">
        <v>209</v>
      </c>
    </row>
    <row r="12" spans="1:11" ht="15" customHeight="1" x14ac:dyDescent="0.3">
      <c r="A12" s="12" t="s">
        <v>210</v>
      </c>
    </row>
    <row r="14" spans="1:11" ht="15" customHeight="1" x14ac:dyDescent="0.3">
      <c r="A14" s="2" t="s">
        <v>211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" customHeight="1" x14ac:dyDescent="0.3">
      <c r="A15" s="7"/>
      <c r="B15" s="8">
        <v>2027</v>
      </c>
      <c r="C15" s="8">
        <v>2028</v>
      </c>
      <c r="D15" s="8">
        <v>2029</v>
      </c>
      <c r="E15" s="8">
        <v>2030</v>
      </c>
      <c r="F15" s="8">
        <v>2031</v>
      </c>
      <c r="G15" s="8">
        <v>2032</v>
      </c>
      <c r="H15" s="8">
        <v>2033</v>
      </c>
      <c r="I15" s="8">
        <v>2034</v>
      </c>
      <c r="J15" s="8">
        <v>2035</v>
      </c>
      <c r="K15" s="8">
        <v>2036</v>
      </c>
    </row>
    <row r="16" spans="1:11" ht="15" customHeight="1" x14ac:dyDescent="0.3">
      <c r="A16" s="4" t="s">
        <v>212</v>
      </c>
      <c r="B16" s="28">
        <v>27951</v>
      </c>
      <c r="C16" s="9">
        <f t="shared" ref="C16:K16" si="0">B16*(1+$B$4)</f>
        <v>28789.530000000002</v>
      </c>
      <c r="D16" s="9">
        <f t="shared" si="0"/>
        <v>29653.215900000003</v>
      </c>
      <c r="E16" s="9">
        <f t="shared" si="0"/>
        <v>30542.812377000002</v>
      </c>
      <c r="F16" s="9">
        <f t="shared" si="0"/>
        <v>31459.096748310003</v>
      </c>
      <c r="G16" s="9">
        <f t="shared" si="0"/>
        <v>32402.869650759305</v>
      </c>
      <c r="H16" s="9">
        <f t="shared" si="0"/>
        <v>33374.955740282086</v>
      </c>
      <c r="I16" s="9">
        <f t="shared" si="0"/>
        <v>34376.204412490551</v>
      </c>
      <c r="J16" s="9">
        <f t="shared" si="0"/>
        <v>35407.490544865272</v>
      </c>
      <c r="K16" s="9">
        <f t="shared" si="0"/>
        <v>36469.715261211233</v>
      </c>
    </row>
    <row r="17" spans="1:11" ht="15" customHeight="1" x14ac:dyDescent="0.3">
      <c r="A17" s="4" t="s">
        <v>213</v>
      </c>
      <c r="B17" s="28">
        <v>-9000</v>
      </c>
      <c r="C17" s="9">
        <f t="shared" ref="C17:K17" si="1">B17*(1+$B$4)</f>
        <v>-9270</v>
      </c>
      <c r="D17" s="9">
        <f t="shared" si="1"/>
        <v>-9548.1</v>
      </c>
      <c r="E17" s="9">
        <f t="shared" si="1"/>
        <v>-9834.5430000000015</v>
      </c>
      <c r="F17" s="9">
        <f t="shared" si="1"/>
        <v>-10129.579290000001</v>
      </c>
      <c r="G17" s="9">
        <f t="shared" si="1"/>
        <v>-10433.466668700003</v>
      </c>
      <c r="H17" s="9">
        <f t="shared" si="1"/>
        <v>-10746.470668761003</v>
      </c>
      <c r="I17" s="9">
        <f t="shared" si="1"/>
        <v>-11068.864788823834</v>
      </c>
      <c r="J17" s="9">
        <f t="shared" si="1"/>
        <v>-11400.930732488549</v>
      </c>
      <c r="K17" s="9">
        <f t="shared" si="1"/>
        <v>-11742.958654463206</v>
      </c>
    </row>
    <row r="18" spans="1:11" ht="15" customHeight="1" x14ac:dyDescent="0.3">
      <c r="A18" s="4" t="s">
        <v>214</v>
      </c>
      <c r="B18" s="28">
        <v>2500</v>
      </c>
      <c r="C18" s="9">
        <f>B18*(1+'P&amp;L'!$B$4)</f>
        <v>2550</v>
      </c>
      <c r="D18" s="9">
        <f>C18*(1+'P&amp;L'!$B$4)</f>
        <v>2601</v>
      </c>
      <c r="E18" s="9">
        <f>D18*(1+'P&amp;L'!$B$4)</f>
        <v>2653.02</v>
      </c>
      <c r="F18" s="9">
        <f>E18*(1+'P&amp;L'!$B$4)</f>
        <v>2706.0803999999998</v>
      </c>
      <c r="G18" s="9">
        <f>F18*(1+'P&amp;L'!$B$4)</f>
        <v>2760.2020079999998</v>
      </c>
      <c r="H18" s="9">
        <f>G18*(1+'P&amp;L'!$B$4)</f>
        <v>2815.40604816</v>
      </c>
      <c r="I18" s="9">
        <f>H18*(1+'P&amp;L'!$B$4)</f>
        <v>2871.7141691232</v>
      </c>
      <c r="J18" s="9">
        <f>I18*(1+'P&amp;L'!$B$4)</f>
        <v>2929.148452505664</v>
      </c>
      <c r="K18" s="9">
        <f>J18*(1+'P&amp;L'!$B$4)</f>
        <v>2987.7314215557772</v>
      </c>
    </row>
    <row r="19" spans="1:11" ht="15" customHeight="1" x14ac:dyDescent="0.3">
      <c r="A19" s="4" t="s">
        <v>215</v>
      </c>
      <c r="B19" s="28">
        <v>2500</v>
      </c>
      <c r="C19" s="9">
        <f>B19*(1+'P&amp;L'!$B$4)</f>
        <v>2550</v>
      </c>
      <c r="D19" s="9">
        <f>C19*(1+'P&amp;L'!$B$4)</f>
        <v>2601</v>
      </c>
      <c r="E19" s="9">
        <f>D19*(1+'P&amp;L'!$B$4)</f>
        <v>2653.02</v>
      </c>
      <c r="F19" s="9">
        <f>E19*(1+'P&amp;L'!$B$4)</f>
        <v>2706.0803999999998</v>
      </c>
      <c r="G19" s="9">
        <f>F19*(1+'P&amp;L'!$B$4)</f>
        <v>2760.2020079999998</v>
      </c>
      <c r="H19" s="9">
        <f>G19*(1+'P&amp;L'!$B$4)</f>
        <v>2815.40604816</v>
      </c>
      <c r="I19" s="9">
        <f>H19*(1+'P&amp;L'!$B$4)</f>
        <v>2871.7141691232</v>
      </c>
      <c r="J19" s="9">
        <f>I19*(1+'P&amp;L'!$B$4)</f>
        <v>2929.148452505664</v>
      </c>
      <c r="K19" s="9">
        <f>J19*(1+'P&amp;L'!$B$4)</f>
        <v>2987.7314215557772</v>
      </c>
    </row>
    <row r="20" spans="1:11" ht="15" customHeight="1" x14ac:dyDescent="0.3">
      <c r="A20" s="4" t="s">
        <v>216</v>
      </c>
      <c r="B20" s="28">
        <v>1000</v>
      </c>
      <c r="C20" s="9">
        <f>B20*(1+'P&amp;L'!$B$4)</f>
        <v>1020</v>
      </c>
      <c r="D20" s="9">
        <f>C20*(1+'P&amp;L'!$B$4)</f>
        <v>1040.4000000000001</v>
      </c>
      <c r="E20" s="9">
        <f>D20*(1+'P&amp;L'!$B$4)</f>
        <v>1061.2080000000001</v>
      </c>
      <c r="F20" s="9">
        <f>E20*(1+'P&amp;L'!$B$4)</f>
        <v>1082.4321600000001</v>
      </c>
      <c r="G20" s="9">
        <f>F20*(1+'P&amp;L'!$B$4)</f>
        <v>1104.0808032</v>
      </c>
      <c r="H20" s="9">
        <f>G20*(1+'P&amp;L'!$B$4)</f>
        <v>1126.1624192639999</v>
      </c>
      <c r="I20" s="9">
        <f>H20*(1+'P&amp;L'!$B$4)</f>
        <v>1148.68566764928</v>
      </c>
      <c r="J20" s="9">
        <f>I20*(1+'P&amp;L'!$B$4)</f>
        <v>1171.6593810022657</v>
      </c>
      <c r="K20" s="9">
        <f>J20*(1+'P&amp;L'!$B$4)</f>
        <v>1195.0925686223111</v>
      </c>
    </row>
    <row r="22" spans="1:11" ht="15" customHeight="1" x14ac:dyDescent="0.3">
      <c r="A22" s="6" t="s">
        <v>217</v>
      </c>
      <c r="B22" s="11">
        <f t="shared" ref="B22:K22" si="2">B16+B17+B18+B19+B20</f>
        <v>24951</v>
      </c>
      <c r="C22" s="11">
        <f t="shared" si="2"/>
        <v>25639.530000000002</v>
      </c>
      <c r="D22" s="11">
        <f t="shared" si="2"/>
        <v>26347.515900000006</v>
      </c>
      <c r="E22" s="11">
        <f t="shared" si="2"/>
        <v>27075.517377</v>
      </c>
      <c r="F22" s="11">
        <f t="shared" si="2"/>
        <v>27824.11041831</v>
      </c>
      <c r="G22" s="11">
        <f t="shared" si="2"/>
        <v>28593.887801259301</v>
      </c>
      <c r="H22" s="11">
        <f t="shared" si="2"/>
        <v>29385.459587105084</v>
      </c>
      <c r="I22" s="11">
        <f t="shared" si="2"/>
        <v>30199.453629562395</v>
      </c>
      <c r="J22" s="11">
        <f t="shared" si="2"/>
        <v>31036.516098390315</v>
      </c>
      <c r="K22" s="11">
        <f t="shared" si="2"/>
        <v>31897.312018481898</v>
      </c>
    </row>
    <row r="24" spans="1:11" ht="15" customHeight="1" x14ac:dyDescent="0.3">
      <c r="A24" s="2" t="s">
        <v>218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" customHeight="1" x14ac:dyDescent="0.3">
      <c r="A25" s="7"/>
      <c r="B25" s="8">
        <v>2027</v>
      </c>
      <c r="C25" s="8">
        <v>2028</v>
      </c>
      <c r="D25" s="8">
        <v>2029</v>
      </c>
      <c r="E25" s="8">
        <v>2030</v>
      </c>
      <c r="F25" s="8">
        <v>2031</v>
      </c>
      <c r="G25" s="8">
        <v>2032</v>
      </c>
      <c r="H25" s="8">
        <v>2033</v>
      </c>
      <c r="I25" s="8">
        <v>2034</v>
      </c>
      <c r="J25" s="8">
        <v>2035</v>
      </c>
      <c r="K25" s="8">
        <v>2036</v>
      </c>
    </row>
    <row r="26" spans="1:11" ht="15" customHeight="1" x14ac:dyDescent="0.3">
      <c r="A26" s="4" t="s">
        <v>219</v>
      </c>
      <c r="B26" s="28">
        <v>4500</v>
      </c>
      <c r="C26" s="9">
        <f>Revenue!$B$5*2*9</f>
        <v>4500</v>
      </c>
      <c r="D26" s="9">
        <f>Revenue!$B$5*2*9</f>
        <v>4500</v>
      </c>
      <c r="E26" s="9">
        <f>Revenue!$B$5*2*9</f>
        <v>4500</v>
      </c>
      <c r="F26" s="9">
        <f>Revenue!$B$5*2*9</f>
        <v>4500</v>
      </c>
      <c r="G26" s="9">
        <f>Revenue!$B$5*2*9</f>
        <v>4500</v>
      </c>
      <c r="H26" s="9">
        <f>Revenue!$B$5*2*9</f>
        <v>4500</v>
      </c>
      <c r="I26" s="9">
        <f>Revenue!$B$5*2*9</f>
        <v>4500</v>
      </c>
      <c r="J26" s="9">
        <f>Revenue!$B$5*2*9</f>
        <v>4500</v>
      </c>
      <c r="K26" s="9">
        <f>Revenue!$B$5*2*9</f>
        <v>4500</v>
      </c>
    </row>
    <row r="27" spans="1:11" ht="15" customHeight="1" x14ac:dyDescent="0.3">
      <c r="A27" s="4" t="s">
        <v>220</v>
      </c>
      <c r="B27" s="28">
        <v>4500</v>
      </c>
      <c r="C27" s="9">
        <f t="shared" ref="C27:K27" si="3">$B$27</f>
        <v>4500</v>
      </c>
      <c r="D27" s="9">
        <f t="shared" si="3"/>
        <v>4500</v>
      </c>
      <c r="E27" s="9">
        <f t="shared" si="3"/>
        <v>4500</v>
      </c>
      <c r="F27" s="9">
        <f t="shared" si="3"/>
        <v>4500</v>
      </c>
      <c r="G27" s="9">
        <f t="shared" si="3"/>
        <v>4500</v>
      </c>
      <c r="H27" s="9">
        <f t="shared" si="3"/>
        <v>4500</v>
      </c>
      <c r="I27" s="9">
        <f t="shared" si="3"/>
        <v>4500</v>
      </c>
      <c r="J27" s="9">
        <f t="shared" si="3"/>
        <v>4500</v>
      </c>
      <c r="K27" s="9">
        <f t="shared" si="3"/>
        <v>4500</v>
      </c>
    </row>
    <row r="29" spans="1:11" ht="15" customHeight="1" x14ac:dyDescent="0.3">
      <c r="A29" s="6" t="s">
        <v>221</v>
      </c>
      <c r="B29" s="11">
        <f t="shared" ref="B29:K29" si="4">B26+B27</f>
        <v>9000</v>
      </c>
      <c r="C29" s="11">
        <f t="shared" si="4"/>
        <v>9000</v>
      </c>
      <c r="D29" s="11">
        <f t="shared" si="4"/>
        <v>9000</v>
      </c>
      <c r="E29" s="11">
        <f t="shared" si="4"/>
        <v>9000</v>
      </c>
      <c r="F29" s="11">
        <f t="shared" si="4"/>
        <v>9000</v>
      </c>
      <c r="G29" s="11">
        <f t="shared" si="4"/>
        <v>9000</v>
      </c>
      <c r="H29" s="11">
        <f t="shared" si="4"/>
        <v>9000</v>
      </c>
      <c r="I29" s="11">
        <f t="shared" si="4"/>
        <v>9000</v>
      </c>
      <c r="J29" s="11">
        <f t="shared" si="4"/>
        <v>9000</v>
      </c>
      <c r="K29" s="11">
        <f t="shared" si="4"/>
        <v>9000</v>
      </c>
    </row>
    <row r="31" spans="1:11" ht="15" customHeight="1" x14ac:dyDescent="0.3">
      <c r="A31" s="2" t="s">
        <v>222</v>
      </c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5" customHeight="1" x14ac:dyDescent="0.3">
      <c r="A32" s="7"/>
      <c r="B32" s="8">
        <v>2027</v>
      </c>
      <c r="C32" s="8">
        <v>2028</v>
      </c>
      <c r="D32" s="8">
        <v>2029</v>
      </c>
      <c r="E32" s="8">
        <v>2030</v>
      </c>
      <c r="F32" s="8">
        <v>2031</v>
      </c>
      <c r="G32" s="8">
        <v>2032</v>
      </c>
      <c r="H32" s="8">
        <v>2033</v>
      </c>
      <c r="I32" s="8">
        <v>2034</v>
      </c>
      <c r="J32" s="8">
        <v>2035</v>
      </c>
      <c r="K32" s="8">
        <v>2036</v>
      </c>
    </row>
    <row r="33" spans="1:11" ht="15" customHeight="1" x14ac:dyDescent="0.3">
      <c r="A33" s="4" t="s">
        <v>223</v>
      </c>
      <c r="B33" s="28">
        <v>18000</v>
      </c>
      <c r="C33" s="9">
        <f t="shared" ref="C33:K33" si="5">B33*(1+$B$5)</f>
        <v>19080</v>
      </c>
      <c r="D33" s="9">
        <f t="shared" si="5"/>
        <v>20224.8</v>
      </c>
      <c r="E33" s="9">
        <f t="shared" si="5"/>
        <v>21438.288</v>
      </c>
      <c r="F33" s="9">
        <f t="shared" si="5"/>
        <v>22724.585280000003</v>
      </c>
      <c r="G33" s="9">
        <f t="shared" si="5"/>
        <v>24088.060396800003</v>
      </c>
      <c r="H33" s="9">
        <f t="shared" si="5"/>
        <v>25533.344020608005</v>
      </c>
      <c r="I33" s="9">
        <f t="shared" si="5"/>
        <v>27065.344661844487</v>
      </c>
      <c r="J33" s="9">
        <f t="shared" si="5"/>
        <v>28689.265341555158</v>
      </c>
      <c r="K33" s="9">
        <f t="shared" si="5"/>
        <v>30410.621262048469</v>
      </c>
    </row>
    <row r="34" spans="1:11" ht="15" customHeight="1" x14ac:dyDescent="0.3">
      <c r="A34" s="4" t="s">
        <v>224</v>
      </c>
      <c r="B34" s="28">
        <v>12000</v>
      </c>
      <c r="C34" s="9">
        <f t="shared" ref="C34:K34" si="6">B34*(1+$B$5)</f>
        <v>12720</v>
      </c>
      <c r="D34" s="9">
        <f t="shared" si="6"/>
        <v>13483.2</v>
      </c>
      <c r="E34" s="9">
        <f t="shared" si="6"/>
        <v>14292.192000000001</v>
      </c>
      <c r="F34" s="9">
        <f t="shared" si="6"/>
        <v>15149.723520000001</v>
      </c>
      <c r="G34" s="9">
        <f t="shared" si="6"/>
        <v>16058.706931200002</v>
      </c>
      <c r="H34" s="9">
        <f t="shared" si="6"/>
        <v>17022.229347072003</v>
      </c>
      <c r="I34" s="9">
        <f t="shared" si="6"/>
        <v>18043.563107896323</v>
      </c>
      <c r="J34" s="9">
        <f t="shared" si="6"/>
        <v>19126.176894370103</v>
      </c>
      <c r="K34" s="9">
        <f t="shared" si="6"/>
        <v>20273.747508032309</v>
      </c>
    </row>
    <row r="35" spans="1:11" ht="15" customHeight="1" x14ac:dyDescent="0.3">
      <c r="A35" s="4" t="s">
        <v>225</v>
      </c>
      <c r="B35" s="28">
        <v>3500</v>
      </c>
      <c r="C35" s="9">
        <f t="shared" ref="C35:K35" si="7">B35*(1+$B$5)</f>
        <v>3710</v>
      </c>
      <c r="D35" s="9">
        <f t="shared" si="7"/>
        <v>3932.6000000000004</v>
      </c>
      <c r="E35" s="9">
        <f t="shared" si="7"/>
        <v>4168.5560000000005</v>
      </c>
      <c r="F35" s="9">
        <f t="shared" si="7"/>
        <v>4418.6693600000008</v>
      </c>
      <c r="G35" s="9">
        <f t="shared" si="7"/>
        <v>4683.7895216000006</v>
      </c>
      <c r="H35" s="9">
        <f t="shared" si="7"/>
        <v>4964.8168928960013</v>
      </c>
      <c r="I35" s="9">
        <f t="shared" si="7"/>
        <v>5262.7059064697614</v>
      </c>
      <c r="J35" s="9">
        <f t="shared" si="7"/>
        <v>5578.4682608579478</v>
      </c>
      <c r="K35" s="9">
        <f t="shared" si="7"/>
        <v>5913.1763565094252</v>
      </c>
    </row>
    <row r="36" spans="1:11" ht="15" customHeight="1" x14ac:dyDescent="0.3">
      <c r="A36" s="4" t="s">
        <v>226</v>
      </c>
      <c r="B36" s="28">
        <v>5000</v>
      </c>
      <c r="C36" s="9">
        <f t="shared" ref="C36:K36" si="8">B36*(1+$B$5)</f>
        <v>5300</v>
      </c>
      <c r="D36" s="9">
        <f t="shared" si="8"/>
        <v>5618</v>
      </c>
      <c r="E36" s="9">
        <f t="shared" si="8"/>
        <v>5955.08</v>
      </c>
      <c r="F36" s="9">
        <f t="shared" si="8"/>
        <v>6312.3847999999998</v>
      </c>
      <c r="G36" s="9">
        <f t="shared" si="8"/>
        <v>6691.127888</v>
      </c>
      <c r="H36" s="9">
        <f t="shared" si="8"/>
        <v>7092.5955612800008</v>
      </c>
      <c r="I36" s="9">
        <f t="shared" si="8"/>
        <v>7518.1512949568014</v>
      </c>
      <c r="J36" s="9">
        <f t="shared" si="8"/>
        <v>7969.2403726542098</v>
      </c>
      <c r="K36" s="9">
        <f t="shared" si="8"/>
        <v>8447.3947950134625</v>
      </c>
    </row>
    <row r="37" spans="1:11" ht="15" customHeight="1" x14ac:dyDescent="0.3">
      <c r="A37" s="4" t="s">
        <v>227</v>
      </c>
      <c r="B37" s="28">
        <v>2000</v>
      </c>
      <c r="C37" s="9">
        <f t="shared" ref="C37:K37" si="9">B37*(1+$B$5)</f>
        <v>2120</v>
      </c>
      <c r="D37" s="9">
        <f t="shared" si="9"/>
        <v>2247.2000000000003</v>
      </c>
      <c r="E37" s="9">
        <f t="shared" si="9"/>
        <v>2382.0320000000006</v>
      </c>
      <c r="F37" s="9">
        <f t="shared" si="9"/>
        <v>2524.9539200000008</v>
      </c>
      <c r="G37" s="9">
        <f t="shared" si="9"/>
        <v>2676.4511552000008</v>
      </c>
      <c r="H37" s="9">
        <f t="shared" si="9"/>
        <v>2837.0382245120009</v>
      </c>
      <c r="I37" s="9">
        <f t="shared" si="9"/>
        <v>3007.260517982721</v>
      </c>
      <c r="J37" s="9">
        <f t="shared" si="9"/>
        <v>3187.6961490616845</v>
      </c>
      <c r="K37" s="9">
        <f t="shared" si="9"/>
        <v>3378.9579180053856</v>
      </c>
    </row>
    <row r="38" spans="1:11" ht="15" customHeight="1" x14ac:dyDescent="0.3">
      <c r="A38" s="4" t="s">
        <v>228</v>
      </c>
      <c r="B38" s="28">
        <v>6000</v>
      </c>
      <c r="C38" s="9">
        <f t="shared" ref="C38:K38" si="10">B38*(1+$B$5)</f>
        <v>6360</v>
      </c>
      <c r="D38" s="9">
        <f t="shared" si="10"/>
        <v>6741.6</v>
      </c>
      <c r="E38" s="9">
        <f t="shared" si="10"/>
        <v>7146.0960000000005</v>
      </c>
      <c r="F38" s="9">
        <f t="shared" si="10"/>
        <v>7574.8617600000007</v>
      </c>
      <c r="G38" s="9">
        <f t="shared" si="10"/>
        <v>8029.3534656000011</v>
      </c>
      <c r="H38" s="9">
        <f t="shared" si="10"/>
        <v>8511.1146735360016</v>
      </c>
      <c r="I38" s="9">
        <f t="shared" si="10"/>
        <v>9021.7815539481617</v>
      </c>
      <c r="J38" s="9">
        <f t="shared" si="10"/>
        <v>9563.0884471850513</v>
      </c>
      <c r="K38" s="9">
        <f t="shared" si="10"/>
        <v>10136.873754016155</v>
      </c>
    </row>
    <row r="39" spans="1:11" ht="15" customHeight="1" x14ac:dyDescent="0.3">
      <c r="A39" s="4" t="s">
        <v>229</v>
      </c>
      <c r="B39" s="28">
        <v>2500</v>
      </c>
      <c r="C39" s="9">
        <f t="shared" ref="C39:K39" si="11">B39*(1+$B$5)</f>
        <v>2650</v>
      </c>
      <c r="D39" s="9">
        <f t="shared" si="11"/>
        <v>2809</v>
      </c>
      <c r="E39" s="9">
        <f t="shared" si="11"/>
        <v>2977.54</v>
      </c>
      <c r="F39" s="9">
        <f t="shared" si="11"/>
        <v>3156.1923999999999</v>
      </c>
      <c r="G39" s="9">
        <f t="shared" si="11"/>
        <v>3345.563944</v>
      </c>
      <c r="H39" s="9">
        <f t="shared" si="11"/>
        <v>3546.2977806400004</v>
      </c>
      <c r="I39" s="9">
        <f t="shared" si="11"/>
        <v>3759.0756474784007</v>
      </c>
      <c r="J39" s="9">
        <f t="shared" si="11"/>
        <v>3984.6201863271049</v>
      </c>
      <c r="K39" s="9">
        <f t="shared" si="11"/>
        <v>4223.6973975067312</v>
      </c>
    </row>
    <row r="41" spans="1:11" ht="15" customHeight="1" x14ac:dyDescent="0.3">
      <c r="A41" s="6" t="s">
        <v>230</v>
      </c>
      <c r="B41" s="11">
        <f t="shared" ref="B41:K41" si="12">B33+B34+B35+B36+B37+B38+B39</f>
        <v>49000</v>
      </c>
      <c r="C41" s="11">
        <f t="shared" si="12"/>
        <v>51940</v>
      </c>
      <c r="D41" s="11">
        <f t="shared" si="12"/>
        <v>55056.399999999994</v>
      </c>
      <c r="E41" s="11">
        <f t="shared" si="12"/>
        <v>58359.784000000007</v>
      </c>
      <c r="F41" s="11">
        <f t="shared" si="12"/>
        <v>61861.371040000005</v>
      </c>
      <c r="G41" s="11">
        <f t="shared" si="12"/>
        <v>65573.053302400003</v>
      </c>
      <c r="H41" s="11">
        <f t="shared" si="12"/>
        <v>69507.436500544005</v>
      </c>
      <c r="I41" s="11">
        <f t="shared" si="12"/>
        <v>73677.882690576647</v>
      </c>
      <c r="J41" s="11">
        <f t="shared" si="12"/>
        <v>78098.555652011259</v>
      </c>
      <c r="K41" s="11">
        <f t="shared" si="12"/>
        <v>82784.468991131944</v>
      </c>
    </row>
    <row r="43" spans="1:11" ht="15" customHeight="1" x14ac:dyDescent="0.3">
      <c r="A43" s="2" t="s">
        <v>231</v>
      </c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5" customHeight="1" x14ac:dyDescent="0.3">
      <c r="A44" s="7"/>
      <c r="B44" s="8">
        <v>2027</v>
      </c>
      <c r="C44" s="8">
        <v>2028</v>
      </c>
      <c r="D44" s="8">
        <v>2029</v>
      </c>
      <c r="E44" s="8">
        <v>2030</v>
      </c>
      <c r="F44" s="8">
        <v>2031</v>
      </c>
      <c r="G44" s="8">
        <v>2032</v>
      </c>
      <c r="H44" s="8">
        <v>2033</v>
      </c>
      <c r="I44" s="8">
        <v>2034</v>
      </c>
      <c r="J44" s="8">
        <v>2035</v>
      </c>
      <c r="K44" s="8">
        <v>2036</v>
      </c>
    </row>
    <row r="45" spans="1:11" ht="15" customHeight="1" x14ac:dyDescent="0.3">
      <c r="A45" s="4" t="s">
        <v>232</v>
      </c>
      <c r="B45" s="9">
        <f t="shared" ref="B45:K45" si="13">B22+B29+B41</f>
        <v>82951</v>
      </c>
      <c r="C45" s="9">
        <f t="shared" si="13"/>
        <v>86579.53</v>
      </c>
      <c r="D45" s="9">
        <f t="shared" si="13"/>
        <v>90403.915899999993</v>
      </c>
      <c r="E45" s="9">
        <f t="shared" si="13"/>
        <v>94435.301376999996</v>
      </c>
      <c r="F45" s="9">
        <f t="shared" si="13"/>
        <v>98685.481458310009</v>
      </c>
      <c r="G45" s="9">
        <f t="shared" si="13"/>
        <v>103166.94110365931</v>
      </c>
      <c r="H45" s="9">
        <f t="shared" si="13"/>
        <v>107892.89608764909</v>
      </c>
      <c r="I45" s="9">
        <f t="shared" si="13"/>
        <v>112877.33632013905</v>
      </c>
      <c r="J45" s="9">
        <f t="shared" si="13"/>
        <v>118135.07175040158</v>
      </c>
      <c r="K45" s="9">
        <f t="shared" si="13"/>
        <v>123681.78100961384</v>
      </c>
    </row>
    <row r="46" spans="1:11" ht="15" customHeight="1" x14ac:dyDescent="0.3">
      <c r="A46" s="4" t="s">
        <v>233</v>
      </c>
      <c r="B46" s="9">
        <f t="shared" ref="B46:K46" si="14">B45*$B$6</f>
        <v>7465.59</v>
      </c>
      <c r="C46" s="9">
        <f t="shared" si="14"/>
        <v>7792.1576999999997</v>
      </c>
      <c r="D46" s="9">
        <f t="shared" si="14"/>
        <v>8136.3524309999993</v>
      </c>
      <c r="E46" s="9">
        <f t="shared" si="14"/>
        <v>8499.1771239299997</v>
      </c>
      <c r="F46" s="9">
        <f t="shared" si="14"/>
        <v>8881.6933312478996</v>
      </c>
      <c r="G46" s="9">
        <f t="shared" si="14"/>
        <v>9285.0246993293367</v>
      </c>
      <c r="H46" s="9">
        <f t="shared" si="14"/>
        <v>9710.3606478884176</v>
      </c>
      <c r="I46" s="9">
        <f t="shared" si="14"/>
        <v>10158.960268812514</v>
      </c>
      <c r="J46" s="9">
        <f t="shared" si="14"/>
        <v>10632.156457536141</v>
      </c>
      <c r="K46" s="9">
        <f t="shared" si="14"/>
        <v>11131.360290865245</v>
      </c>
    </row>
    <row r="47" spans="1:11" ht="15" customHeight="1" x14ac:dyDescent="0.3">
      <c r="A47" s="6" t="s">
        <v>234</v>
      </c>
      <c r="B47" s="11">
        <f t="shared" ref="B47:K47" si="15">B45+B46</f>
        <v>90416.59</v>
      </c>
      <c r="C47" s="11">
        <f t="shared" si="15"/>
        <v>94371.687699999995</v>
      </c>
      <c r="D47" s="11">
        <f t="shared" si="15"/>
        <v>98540.268330999999</v>
      </c>
      <c r="E47" s="11">
        <f t="shared" si="15"/>
        <v>102934.47850093</v>
      </c>
      <c r="F47" s="11">
        <f t="shared" si="15"/>
        <v>107567.1747895579</v>
      </c>
      <c r="G47" s="11">
        <f t="shared" si="15"/>
        <v>112451.96580298865</v>
      </c>
      <c r="H47" s="11">
        <f t="shared" si="15"/>
        <v>117603.25673553751</v>
      </c>
      <c r="I47" s="11">
        <f t="shared" si="15"/>
        <v>123036.29658895156</v>
      </c>
      <c r="J47" s="11">
        <f t="shared" si="15"/>
        <v>128767.22820793772</v>
      </c>
      <c r="K47" s="11">
        <f t="shared" si="15"/>
        <v>134813.1413004791</v>
      </c>
    </row>
    <row r="48" spans="1:11" ht="15" customHeight="1" x14ac:dyDescent="0.3">
      <c r="A48" s="4" t="s">
        <v>235</v>
      </c>
      <c r="B48" s="9">
        <f>IF(2027&gt;=Revenue!$B$13,B47*Revenue!$B$12,0)</f>
        <v>45208.294999999998</v>
      </c>
      <c r="C48" s="9">
        <f>IF(2028&gt;=Revenue!$B$13,C47*Revenue!$B$12,0)</f>
        <v>47185.843849999997</v>
      </c>
      <c r="D48" s="9">
        <f>IF(2029&gt;=Revenue!$B$13,D47*Revenue!$B$12,0)</f>
        <v>49270.1341655</v>
      </c>
      <c r="E48" s="9">
        <f>IF(2030&gt;=Revenue!$B$13,E47*Revenue!$B$12,0)</f>
        <v>51467.239250464998</v>
      </c>
      <c r="F48" s="9">
        <f>IF(2031&gt;=Revenue!$B$13,F47*Revenue!$B$12,0)</f>
        <v>53783.587394778951</v>
      </c>
      <c r="G48" s="9">
        <f>IF(2032&gt;=Revenue!$B$13,G47*Revenue!$B$12,0)</f>
        <v>56225.982901494324</v>
      </c>
      <c r="H48" s="9">
        <f>IF(2033&gt;=Revenue!$B$13,H47*Revenue!$B$12,0)</f>
        <v>58801.628367768753</v>
      </c>
      <c r="I48" s="9">
        <f>IF(2034&gt;=Revenue!$B$13,I47*Revenue!$B$12,0)</f>
        <v>61518.148294475781</v>
      </c>
      <c r="J48" s="9">
        <f>IF(2035&gt;=Revenue!$B$13,J47*Revenue!$B$12,0)</f>
        <v>64383.614103968859</v>
      </c>
      <c r="K48" s="9">
        <f>IF(2036&gt;=Revenue!$B$13,K47*Revenue!$B$12,0)</f>
        <v>67406.570650239548</v>
      </c>
    </row>
    <row r="49" spans="1:11" ht="15" customHeight="1" x14ac:dyDescent="0.3">
      <c r="A49" s="6" t="s">
        <v>236</v>
      </c>
      <c r="B49" s="11">
        <f t="shared" ref="B49:K49" si="16">B47+B48</f>
        <v>135624.88500000001</v>
      </c>
      <c r="C49" s="11">
        <f t="shared" si="16"/>
        <v>141557.53154999999</v>
      </c>
      <c r="D49" s="11">
        <f t="shared" si="16"/>
        <v>147810.4024965</v>
      </c>
      <c r="E49" s="11">
        <f t="shared" si="16"/>
        <v>154401.71775139499</v>
      </c>
      <c r="F49" s="11">
        <f t="shared" si="16"/>
        <v>161350.76218433684</v>
      </c>
      <c r="G49" s="11">
        <f t="shared" si="16"/>
        <v>168677.94870448299</v>
      </c>
      <c r="H49" s="11">
        <f t="shared" si="16"/>
        <v>176404.88510330627</v>
      </c>
      <c r="I49" s="11">
        <f t="shared" si="16"/>
        <v>184554.44488342735</v>
      </c>
      <c r="J49" s="11">
        <f t="shared" si="16"/>
        <v>193150.84231190657</v>
      </c>
      <c r="K49" s="11">
        <f t="shared" si="16"/>
        <v>202219.71195071866</v>
      </c>
    </row>
    <row r="51" spans="1:11" ht="15" customHeight="1" x14ac:dyDescent="0.3">
      <c r="A51" s="2" t="s">
        <v>237</v>
      </c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5" customHeight="1" x14ac:dyDescent="0.3">
      <c r="A52" s="7"/>
      <c r="B52" s="8">
        <v>2027</v>
      </c>
      <c r="C52" s="8">
        <v>2028</v>
      </c>
      <c r="D52" s="8">
        <v>2029</v>
      </c>
      <c r="E52" s="8">
        <v>2030</v>
      </c>
      <c r="F52" s="8">
        <v>2031</v>
      </c>
      <c r="G52" s="8">
        <v>2032</v>
      </c>
      <c r="H52" s="8">
        <v>2033</v>
      </c>
      <c r="I52" s="8">
        <v>2034</v>
      </c>
      <c r="J52" s="8">
        <v>2035</v>
      </c>
      <c r="K52" s="8">
        <v>2036</v>
      </c>
    </row>
    <row r="53" spans="1:11" ht="15" customHeight="1" x14ac:dyDescent="0.3">
      <c r="A53" s="4" t="s">
        <v>238</v>
      </c>
      <c r="B53" s="28">
        <v>8000</v>
      </c>
      <c r="C53" s="28">
        <v>8000</v>
      </c>
      <c r="D53" s="28">
        <v>8000</v>
      </c>
      <c r="E53" s="28">
        <v>39000</v>
      </c>
      <c r="F53" s="28">
        <v>39000</v>
      </c>
      <c r="G53" s="28">
        <v>39000</v>
      </c>
      <c r="H53" s="28">
        <v>55000</v>
      </c>
      <c r="I53" s="28">
        <v>56000</v>
      </c>
      <c r="J53" s="28">
        <v>58000</v>
      </c>
      <c r="K53" s="28">
        <v>60000</v>
      </c>
    </row>
    <row r="54" spans="1:11" ht="15" customHeight="1" x14ac:dyDescent="0.3">
      <c r="A54" s="12" t="s">
        <v>239</v>
      </c>
    </row>
    <row r="55" spans="1:11" ht="15" customHeight="1" x14ac:dyDescent="0.3">
      <c r="A55" s="4" t="s">
        <v>240</v>
      </c>
      <c r="B55" s="28">
        <v>10000</v>
      </c>
      <c r="C55" s="28">
        <v>20000</v>
      </c>
      <c r="D55" s="28">
        <v>30000</v>
      </c>
      <c r="E55" s="28">
        <v>50000</v>
      </c>
      <c r="F55" s="28">
        <v>70000</v>
      </c>
      <c r="G55" s="9">
        <f>F55*1.04</f>
        <v>72800</v>
      </c>
      <c r="H55" s="9">
        <f>G55*1.04</f>
        <v>75712</v>
      </c>
      <c r="I55" s="9">
        <f>H55*1.04</f>
        <v>78740.479999999996</v>
      </c>
      <c r="J55" s="9">
        <f>I55*1.04</f>
        <v>81890.099199999997</v>
      </c>
      <c r="K55" s="9">
        <f>J55*1.04</f>
        <v>85165.703167999993</v>
      </c>
    </row>
    <row r="57" spans="1:11" x14ac:dyDescent="0.3">
      <c r="A57" s="32" t="s">
        <v>241</v>
      </c>
      <c r="B57">
        <f t="shared" ref="B57:K57" si="17">B49+B53+B55</f>
        <v>153624.88500000001</v>
      </c>
      <c r="C57">
        <f t="shared" si="17"/>
        <v>169557.53154999999</v>
      </c>
      <c r="D57">
        <f t="shared" si="17"/>
        <v>185810.4024965</v>
      </c>
      <c r="E57">
        <f t="shared" si="17"/>
        <v>243401.71775139499</v>
      </c>
      <c r="F57">
        <f t="shared" si="17"/>
        <v>270350.76218433684</v>
      </c>
      <c r="G57">
        <f t="shared" si="17"/>
        <v>280477.94870448299</v>
      </c>
      <c r="H57">
        <f t="shared" si="17"/>
        <v>307116.88510330627</v>
      </c>
      <c r="I57">
        <f t="shared" si="17"/>
        <v>319294.92488342733</v>
      </c>
      <c r="J57">
        <f t="shared" si="17"/>
        <v>333040.94151190657</v>
      </c>
      <c r="K57">
        <f t="shared" si="17"/>
        <v>347385.41511871864</v>
      </c>
    </row>
  </sheetData>
  <sheetProtection password="CC0B" sheet="1"/>
  <phoneticPr fontId="17"/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Instructions</vt:lpstr>
      <vt:lpstr>Dashboard</vt:lpstr>
      <vt:lpstr>P&amp;L</vt:lpstr>
      <vt:lpstr>Revenue</vt:lpstr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瑛太 野田</cp:lastModifiedBy>
  <cp:revision>1</cp:revision>
  <dcterms:created xsi:type="dcterms:W3CDTF">2026-10-01T15:50:55Z</dcterms:created>
  <dcterms:modified xsi:type="dcterms:W3CDTF">2026-10-01T19:52:12Z</dcterms:modified>
  <dc:language>en-US</dc:language>
</cp:coreProperties>
</file>